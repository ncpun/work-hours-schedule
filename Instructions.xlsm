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defaultThemeVersion="164011"/>
  <bookViews>
    <workbookView xWindow="0" yWindow="0" windowWidth="22260" windowHeight="12648" activeTab="1"/>
  </bookViews>
  <sheets>
    <sheet name="Info" sheetId="2" r:id="rId1"/>
    <sheet name="Base table" sheetId="1" r:id="rId2"/>
  </sheets>
  <functionGroups builtInGroupCount="18"/>
  <definedNames>
    <definedName name="_xlnm.Print_Area" localSheetId="1">'Base table'!$A$1:$AO$37,'Base table'!$BA$1:$CG$37,'Base table'!$CM$1:$DV$37</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U32" i="1" l="1"/>
  <c r="DU31" i="1"/>
  <c r="DU30" i="1"/>
  <c r="DU29" i="1"/>
  <c r="DU28" i="1"/>
  <c r="DU27" i="1"/>
  <c r="DU26" i="1"/>
  <c r="DU25" i="1"/>
  <c r="DU24" i="1"/>
  <c r="DU23" i="1"/>
  <c r="DU22" i="1"/>
  <c r="DU21" i="1"/>
  <c r="DU20" i="1"/>
  <c r="DU19" i="1"/>
  <c r="DU18" i="1"/>
  <c r="DU17" i="1"/>
  <c r="DU16" i="1"/>
  <c r="DU14" i="1"/>
  <c r="DU13" i="1"/>
  <c r="DU12" i="1"/>
  <c r="DS32" i="1"/>
  <c r="DS31" i="1"/>
  <c r="DS30" i="1"/>
  <c r="DS29" i="1"/>
  <c r="DS28" i="1"/>
  <c r="DS27" i="1"/>
  <c r="DS26" i="1"/>
  <c r="DS25" i="1"/>
  <c r="DS24" i="1"/>
  <c r="DS23" i="1"/>
  <c r="DS22" i="1"/>
  <c r="DS21" i="1"/>
  <c r="DS20" i="1"/>
  <c r="DS19" i="1"/>
  <c r="DS18" i="1"/>
  <c r="DS17" i="1"/>
  <c r="DS16" i="1"/>
  <c r="DS14" i="1"/>
  <c r="DS13" i="1"/>
  <c r="DS12" i="1"/>
  <c r="DQ32" i="1"/>
  <c r="DQ31" i="1"/>
  <c r="DQ30" i="1"/>
  <c r="DQ29" i="1"/>
  <c r="DQ28" i="1"/>
  <c r="DQ27" i="1"/>
  <c r="DQ26" i="1"/>
  <c r="DQ25" i="1"/>
  <c r="DQ24" i="1"/>
  <c r="DQ23" i="1"/>
  <c r="DQ22" i="1"/>
  <c r="DQ21" i="1"/>
  <c r="DQ20" i="1"/>
  <c r="DQ19" i="1"/>
  <c r="DQ18" i="1"/>
  <c r="DQ17" i="1"/>
  <c r="DQ14" i="1"/>
  <c r="DQ13" i="1"/>
  <c r="DO32" i="1"/>
  <c r="DO31" i="1"/>
  <c r="DO30" i="1"/>
  <c r="DO29" i="1"/>
  <c r="DO28" i="1"/>
  <c r="DO27" i="1"/>
  <c r="DO26" i="1"/>
  <c r="DO25" i="1"/>
  <c r="DO24" i="1"/>
  <c r="DO23" i="1"/>
  <c r="DO22" i="1"/>
  <c r="DO21" i="1"/>
  <c r="DO20" i="1"/>
  <c r="DO19" i="1"/>
  <c r="DO18" i="1"/>
  <c r="DO17" i="1"/>
  <c r="DO14" i="1"/>
  <c r="DO13" i="1"/>
  <c r="DO12" i="1"/>
  <c r="DM32" i="1"/>
  <c r="DM31" i="1"/>
  <c r="DM30" i="1"/>
  <c r="DM29" i="1"/>
  <c r="DM28" i="1"/>
  <c r="DM27" i="1"/>
  <c r="DM26" i="1"/>
  <c r="DM25" i="1"/>
  <c r="DM24" i="1"/>
  <c r="DM23" i="1"/>
  <c r="DM22" i="1"/>
  <c r="DM21" i="1"/>
  <c r="DM20" i="1"/>
  <c r="DM19" i="1"/>
  <c r="DM18" i="1"/>
  <c r="DM17" i="1"/>
  <c r="DM14" i="1"/>
  <c r="DM13" i="1"/>
  <c r="DM12" i="1"/>
  <c r="DK32" i="1"/>
  <c r="DK31" i="1"/>
  <c r="DK30" i="1"/>
  <c r="DK29" i="1"/>
  <c r="DK28" i="1"/>
  <c r="DK27" i="1"/>
  <c r="DK26" i="1"/>
  <c r="DK25" i="1"/>
  <c r="DK24" i="1"/>
  <c r="DK23" i="1"/>
  <c r="DK22" i="1"/>
  <c r="DK21" i="1"/>
  <c r="DK20" i="1"/>
  <c r="DK19" i="1"/>
  <c r="DK18" i="1"/>
  <c r="DK17" i="1"/>
  <c r="DK14" i="1"/>
  <c r="DK13" i="1"/>
  <c r="DK12" i="1"/>
  <c r="DI32" i="1"/>
  <c r="DI31" i="1"/>
  <c r="DI30" i="1"/>
  <c r="DI29" i="1"/>
  <c r="DI28" i="1"/>
  <c r="DI27" i="1"/>
  <c r="DI26" i="1"/>
  <c r="DI25" i="1"/>
  <c r="DI24" i="1"/>
  <c r="DI23" i="1"/>
  <c r="DI22" i="1"/>
  <c r="DI21" i="1"/>
  <c r="DI20" i="1"/>
  <c r="DI19" i="1"/>
  <c r="DI18" i="1"/>
  <c r="DI17" i="1"/>
  <c r="DI16" i="1"/>
  <c r="DI14" i="1"/>
  <c r="DI13" i="1"/>
  <c r="DI12" i="1"/>
  <c r="DG32" i="1"/>
  <c r="DG31" i="1"/>
  <c r="DG30" i="1"/>
  <c r="DG29" i="1"/>
  <c r="DG28" i="1"/>
  <c r="DG27" i="1"/>
  <c r="DG26" i="1"/>
  <c r="DG25" i="1"/>
  <c r="DG24" i="1"/>
  <c r="DG23" i="1"/>
  <c r="DG22" i="1"/>
  <c r="DG21" i="1"/>
  <c r="DG20" i="1"/>
  <c r="DG19" i="1"/>
  <c r="DG18" i="1"/>
  <c r="DG17" i="1"/>
  <c r="DG14" i="1"/>
  <c r="DG13" i="1"/>
  <c r="DG12" i="1"/>
  <c r="DE32" i="1"/>
  <c r="DE31" i="1"/>
  <c r="DE30" i="1"/>
  <c r="DE29" i="1"/>
  <c r="DE28" i="1"/>
  <c r="DE27" i="1"/>
  <c r="DE26" i="1"/>
  <c r="DE25" i="1"/>
  <c r="DE24" i="1"/>
  <c r="DE23" i="1"/>
  <c r="DE22" i="1"/>
  <c r="DE21" i="1"/>
  <c r="DE20" i="1"/>
  <c r="DE19" i="1"/>
  <c r="DE18" i="1"/>
  <c r="DE17" i="1"/>
  <c r="DE14" i="1"/>
  <c r="DE13" i="1"/>
  <c r="DE12" i="1"/>
  <c r="DC32" i="1"/>
  <c r="DC31" i="1"/>
  <c r="DC30" i="1"/>
  <c r="DC29" i="1"/>
  <c r="DC28" i="1"/>
  <c r="DC27" i="1"/>
  <c r="DC26" i="1"/>
  <c r="DC25" i="1"/>
  <c r="DC24" i="1"/>
  <c r="DC23" i="1"/>
  <c r="DC22" i="1"/>
  <c r="DC21" i="1"/>
  <c r="DC20" i="1"/>
  <c r="DC19" i="1"/>
  <c r="DC18" i="1"/>
  <c r="DC17" i="1"/>
  <c r="DC14" i="1"/>
  <c r="DC13" i="1"/>
  <c r="DC12" i="1"/>
  <c r="DA32" i="1"/>
  <c r="DA31" i="1"/>
  <c r="DA30" i="1"/>
  <c r="DA29" i="1"/>
  <c r="DA28" i="1"/>
  <c r="DA27" i="1"/>
  <c r="DA26" i="1"/>
  <c r="DA25" i="1"/>
  <c r="DA24" i="1"/>
  <c r="DA23" i="1"/>
  <c r="DA22" i="1"/>
  <c r="DA21" i="1"/>
  <c r="DA20" i="1"/>
  <c r="DA19" i="1"/>
  <c r="DA18" i="1"/>
  <c r="DA17" i="1"/>
  <c r="DA14" i="1"/>
  <c r="DA13" i="1"/>
  <c r="CY32" i="1"/>
  <c r="CY31" i="1"/>
  <c r="CY30" i="1"/>
  <c r="CY29" i="1"/>
  <c r="CY28" i="1"/>
  <c r="CY27" i="1"/>
  <c r="CY26" i="1"/>
  <c r="CY25" i="1"/>
  <c r="CY24" i="1"/>
  <c r="CY23" i="1"/>
  <c r="CY22" i="1"/>
  <c r="CY21" i="1"/>
  <c r="CY20" i="1"/>
  <c r="CY19" i="1"/>
  <c r="CY18" i="1"/>
  <c r="CY17" i="1"/>
  <c r="CY14" i="1"/>
  <c r="CY13" i="1"/>
  <c r="CY12" i="1"/>
  <c r="CW32" i="1"/>
  <c r="CW31" i="1"/>
  <c r="CW30" i="1"/>
  <c r="CW29" i="1"/>
  <c r="CW28" i="1"/>
  <c r="CW27" i="1"/>
  <c r="CW26" i="1"/>
  <c r="CW25" i="1"/>
  <c r="CW24" i="1"/>
  <c r="CW23" i="1"/>
  <c r="CW22" i="1"/>
  <c r="CW21" i="1"/>
  <c r="CW20" i="1"/>
  <c r="CW19" i="1"/>
  <c r="CW18" i="1"/>
  <c r="CW17" i="1"/>
  <c r="CW14" i="1"/>
  <c r="CW13" i="1"/>
  <c r="CW12" i="1"/>
  <c r="CU32" i="1"/>
  <c r="CU31" i="1"/>
  <c r="CU30" i="1"/>
  <c r="CU29" i="1"/>
  <c r="CU28" i="1"/>
  <c r="CU27" i="1"/>
  <c r="CU26" i="1"/>
  <c r="CU25" i="1"/>
  <c r="CU24" i="1"/>
  <c r="CU23" i="1"/>
  <c r="CU22" i="1"/>
  <c r="CU21" i="1"/>
  <c r="CU20" i="1"/>
  <c r="CU19" i="1"/>
  <c r="CU18" i="1"/>
  <c r="CU17" i="1"/>
  <c r="CU14" i="1"/>
  <c r="CU13" i="1"/>
  <c r="CU12" i="1"/>
  <c r="CS32" i="1"/>
  <c r="CS31" i="1"/>
  <c r="CS30" i="1"/>
  <c r="CS29" i="1"/>
  <c r="CS28" i="1"/>
  <c r="CS27" i="1"/>
  <c r="CS26" i="1"/>
  <c r="CS25" i="1"/>
  <c r="CS24" i="1"/>
  <c r="CS23" i="1"/>
  <c r="CS22" i="1"/>
  <c r="CS21" i="1"/>
  <c r="CS20" i="1"/>
  <c r="CS19" i="1"/>
  <c r="CS18" i="1"/>
  <c r="CS17" i="1"/>
  <c r="CS14" i="1"/>
  <c r="CS13" i="1"/>
  <c r="CS12" i="1"/>
  <c r="CQ32" i="1"/>
  <c r="CQ31" i="1"/>
  <c r="CQ30" i="1"/>
  <c r="CQ29" i="1"/>
  <c r="CQ28" i="1"/>
  <c r="CQ27" i="1"/>
  <c r="CQ26" i="1"/>
  <c r="CQ25" i="1"/>
  <c r="CQ24" i="1"/>
  <c r="CQ23" i="1"/>
  <c r="CQ22" i="1"/>
  <c r="CQ21" i="1"/>
  <c r="CQ20" i="1"/>
  <c r="CQ19" i="1"/>
  <c r="CQ18" i="1"/>
  <c r="CQ17" i="1"/>
  <c r="CQ16" i="1"/>
  <c r="CQ14" i="1"/>
  <c r="CQ13" i="1"/>
  <c r="CQ12" i="1"/>
  <c r="DU11" i="1"/>
  <c r="DS11" i="1"/>
  <c r="DQ11" i="1"/>
  <c r="DO11" i="1"/>
  <c r="DM11" i="1"/>
  <c r="DK11" i="1"/>
  <c r="DI11" i="1"/>
  <c r="DG11" i="1"/>
  <c r="DE11" i="1"/>
  <c r="DC11" i="1"/>
  <c r="DA11" i="1"/>
  <c r="CY11" i="1"/>
  <c r="CW11" i="1"/>
  <c r="CU11" i="1"/>
  <c r="CS11" i="1"/>
  <c r="CQ11" i="1"/>
  <c r="DT32" i="1"/>
  <c r="DT31" i="1"/>
  <c r="DT30" i="1"/>
  <c r="DT29" i="1"/>
  <c r="DT28" i="1"/>
  <c r="DT27" i="1"/>
  <c r="DT26" i="1"/>
  <c r="DT25" i="1"/>
  <c r="DT24" i="1"/>
  <c r="DT23" i="1"/>
  <c r="DT22" i="1"/>
  <c r="DT21" i="1"/>
  <c r="DT20" i="1"/>
  <c r="DT19" i="1"/>
  <c r="DT18" i="1"/>
  <c r="DT17" i="1"/>
  <c r="DT16" i="1"/>
  <c r="DT14" i="1"/>
  <c r="DT13" i="1"/>
  <c r="DT12" i="1"/>
  <c r="DR32" i="1"/>
  <c r="DR31" i="1"/>
  <c r="DR30" i="1"/>
  <c r="DR29" i="1"/>
  <c r="DR28" i="1"/>
  <c r="DR27" i="1"/>
  <c r="DR26" i="1"/>
  <c r="DR25" i="1"/>
  <c r="DR24" i="1"/>
  <c r="DR23" i="1"/>
  <c r="DR22" i="1"/>
  <c r="DR21" i="1"/>
  <c r="DR20" i="1"/>
  <c r="DR19" i="1"/>
  <c r="DR18" i="1"/>
  <c r="DR17" i="1"/>
  <c r="DR16" i="1"/>
  <c r="DR14" i="1"/>
  <c r="DR13" i="1"/>
  <c r="DR12" i="1"/>
  <c r="DP32" i="1"/>
  <c r="DP31" i="1"/>
  <c r="DP30" i="1"/>
  <c r="DP29" i="1"/>
  <c r="DP28" i="1"/>
  <c r="DP27" i="1"/>
  <c r="DP26" i="1"/>
  <c r="DP25" i="1"/>
  <c r="DP24" i="1"/>
  <c r="DP23" i="1"/>
  <c r="DP22" i="1"/>
  <c r="DP21" i="1"/>
  <c r="DP20" i="1"/>
  <c r="DP19" i="1"/>
  <c r="DP18" i="1"/>
  <c r="DP17" i="1"/>
  <c r="DP16" i="1"/>
  <c r="DQ16" i="1" s="1"/>
  <c r="DP15" i="1"/>
  <c r="DQ15" i="1" s="1"/>
  <c r="DP13" i="1"/>
  <c r="DP12" i="1"/>
  <c r="DQ12" i="1" s="1"/>
  <c r="DN32" i="1"/>
  <c r="DN31" i="1"/>
  <c r="DN30" i="1"/>
  <c r="DN29" i="1"/>
  <c r="DN28" i="1"/>
  <c r="DN27" i="1"/>
  <c r="DN26" i="1"/>
  <c r="DN25" i="1"/>
  <c r="DN24" i="1"/>
  <c r="DN23" i="1"/>
  <c r="DN22" i="1"/>
  <c r="DN21" i="1"/>
  <c r="DN20" i="1"/>
  <c r="DN19" i="1"/>
  <c r="DN18" i="1"/>
  <c r="DN17" i="1"/>
  <c r="DN16" i="1"/>
  <c r="DO16" i="1" s="1"/>
  <c r="DN15" i="1"/>
  <c r="DO15" i="1" s="1"/>
  <c r="DN12" i="1"/>
  <c r="DL32" i="1"/>
  <c r="DL31" i="1"/>
  <c r="DL30" i="1"/>
  <c r="DL29" i="1"/>
  <c r="DL28" i="1"/>
  <c r="DL27" i="1"/>
  <c r="DL26" i="1"/>
  <c r="DL25" i="1"/>
  <c r="DL24" i="1"/>
  <c r="DL23" i="1"/>
  <c r="DL22" i="1"/>
  <c r="DL21" i="1"/>
  <c r="DL20" i="1"/>
  <c r="DL19" i="1"/>
  <c r="DL18" i="1"/>
  <c r="DL17" i="1"/>
  <c r="DL16" i="1"/>
  <c r="DM16" i="1" s="1"/>
  <c r="DL14" i="1"/>
  <c r="DJ32" i="1"/>
  <c r="DJ31" i="1"/>
  <c r="DJ30" i="1"/>
  <c r="DJ29" i="1"/>
  <c r="DJ28" i="1"/>
  <c r="DJ27" i="1"/>
  <c r="DJ26" i="1"/>
  <c r="DJ25" i="1"/>
  <c r="DJ24" i="1"/>
  <c r="DJ23" i="1"/>
  <c r="DJ22" i="1"/>
  <c r="DJ21" i="1"/>
  <c r="DJ20" i="1"/>
  <c r="DJ19" i="1"/>
  <c r="DJ18" i="1"/>
  <c r="DJ17" i="1"/>
  <c r="DJ16" i="1"/>
  <c r="DK16" i="1" s="1"/>
  <c r="DJ14" i="1"/>
  <c r="DJ13" i="1"/>
  <c r="DH32" i="1"/>
  <c r="DH31" i="1"/>
  <c r="DH30" i="1"/>
  <c r="DH29" i="1"/>
  <c r="DH28" i="1"/>
  <c r="DH27" i="1"/>
  <c r="DH26" i="1"/>
  <c r="DH25" i="1"/>
  <c r="DH24" i="1"/>
  <c r="DH23" i="1"/>
  <c r="DH22" i="1"/>
  <c r="DH21" i="1"/>
  <c r="DH20" i="1"/>
  <c r="DH19" i="1"/>
  <c r="DH18" i="1"/>
  <c r="DH17" i="1"/>
  <c r="DH16" i="1"/>
  <c r="DH14" i="1"/>
  <c r="DH13" i="1"/>
  <c r="DF32" i="1"/>
  <c r="DF31" i="1"/>
  <c r="DF30" i="1"/>
  <c r="DF29" i="1"/>
  <c r="DF28" i="1"/>
  <c r="DF27" i="1"/>
  <c r="DF26" i="1"/>
  <c r="DF25" i="1"/>
  <c r="DF24" i="1"/>
  <c r="DF23" i="1"/>
  <c r="DF22" i="1"/>
  <c r="DF21" i="1"/>
  <c r="DF20" i="1"/>
  <c r="DF19" i="1"/>
  <c r="DF18" i="1"/>
  <c r="DF17" i="1"/>
  <c r="DF16" i="1"/>
  <c r="DG16" i="1" s="1"/>
  <c r="DF14" i="1"/>
  <c r="DD32" i="1"/>
  <c r="DD31" i="1"/>
  <c r="DD30" i="1"/>
  <c r="DD29" i="1"/>
  <c r="DD28" i="1"/>
  <c r="DD27" i="1"/>
  <c r="DD26" i="1"/>
  <c r="DD25" i="1"/>
  <c r="DD24" i="1"/>
  <c r="DD23" i="1"/>
  <c r="DD22" i="1"/>
  <c r="DD21" i="1"/>
  <c r="DD20" i="1"/>
  <c r="DD19" i="1"/>
  <c r="DD18" i="1"/>
  <c r="DD17" i="1"/>
  <c r="DD16" i="1"/>
  <c r="DE16" i="1" s="1"/>
  <c r="DD14" i="1"/>
  <c r="DB32" i="1"/>
  <c r="DB31" i="1"/>
  <c r="DB30" i="1"/>
  <c r="DB29" i="1"/>
  <c r="DB28" i="1"/>
  <c r="DB27" i="1"/>
  <c r="DB26" i="1"/>
  <c r="DB25" i="1"/>
  <c r="DB24" i="1"/>
  <c r="DB23" i="1"/>
  <c r="DB22" i="1"/>
  <c r="DB21" i="1"/>
  <c r="DB20" i="1"/>
  <c r="DB19" i="1"/>
  <c r="DB18" i="1"/>
  <c r="DB17" i="1"/>
  <c r="DB16" i="1"/>
  <c r="DC16" i="1" s="1"/>
  <c r="DB15" i="1"/>
  <c r="DC15" i="1" s="1"/>
  <c r="DB13" i="1"/>
  <c r="DB12" i="1"/>
  <c r="CZ32" i="1"/>
  <c r="CZ31" i="1"/>
  <c r="CZ30" i="1"/>
  <c r="CZ29" i="1"/>
  <c r="CZ28" i="1"/>
  <c r="CZ27" i="1"/>
  <c r="CZ26" i="1"/>
  <c r="CZ25" i="1"/>
  <c r="CZ24" i="1"/>
  <c r="CZ23" i="1"/>
  <c r="CZ22" i="1"/>
  <c r="CZ21" i="1"/>
  <c r="CZ20" i="1"/>
  <c r="CZ19" i="1"/>
  <c r="CZ18" i="1"/>
  <c r="CZ17" i="1"/>
  <c r="CZ16" i="1"/>
  <c r="DA16" i="1" s="1"/>
  <c r="CZ15" i="1"/>
  <c r="DA15" i="1" s="1"/>
  <c r="CZ13" i="1"/>
  <c r="CZ12" i="1"/>
  <c r="DA12" i="1" s="1"/>
  <c r="CX32" i="1"/>
  <c r="CX31" i="1"/>
  <c r="CX30" i="1"/>
  <c r="CX29" i="1"/>
  <c r="CX28" i="1"/>
  <c r="CX27" i="1"/>
  <c r="CX26" i="1"/>
  <c r="CX25" i="1"/>
  <c r="CX24" i="1"/>
  <c r="CX23" i="1"/>
  <c r="CX22" i="1"/>
  <c r="CX21" i="1"/>
  <c r="CX20" i="1"/>
  <c r="CX19" i="1"/>
  <c r="CX18" i="1"/>
  <c r="CX17" i="1"/>
  <c r="CX16" i="1"/>
  <c r="CY16" i="1" s="1"/>
  <c r="CX14" i="1"/>
  <c r="CV32" i="1"/>
  <c r="CV31" i="1"/>
  <c r="CV30" i="1"/>
  <c r="CV29" i="1"/>
  <c r="CV28" i="1"/>
  <c r="CV27" i="1"/>
  <c r="CV26" i="1"/>
  <c r="CV25" i="1"/>
  <c r="CV24" i="1"/>
  <c r="CV23" i="1"/>
  <c r="CV22" i="1"/>
  <c r="CV21" i="1"/>
  <c r="CV20" i="1"/>
  <c r="CV19" i="1"/>
  <c r="CV18" i="1"/>
  <c r="CV17" i="1"/>
  <c r="CV16" i="1"/>
  <c r="CW16" i="1" s="1"/>
  <c r="CV14" i="1"/>
  <c r="CT32" i="1"/>
  <c r="CT31" i="1"/>
  <c r="CT30" i="1"/>
  <c r="CT29" i="1"/>
  <c r="CT28" i="1"/>
  <c r="CT27" i="1"/>
  <c r="CT26" i="1"/>
  <c r="CT25" i="1"/>
  <c r="CT24" i="1"/>
  <c r="CT23" i="1"/>
  <c r="CT22" i="1"/>
  <c r="CT21" i="1"/>
  <c r="CT20" i="1"/>
  <c r="CT19" i="1"/>
  <c r="CT18" i="1"/>
  <c r="CT17" i="1"/>
  <c r="CT16" i="1"/>
  <c r="CU16" i="1" s="1"/>
  <c r="CT15" i="1"/>
  <c r="CU15" i="1" s="1"/>
  <c r="CT13" i="1"/>
  <c r="CT12" i="1"/>
  <c r="CR32" i="1"/>
  <c r="CR31" i="1"/>
  <c r="CR30" i="1"/>
  <c r="CR29" i="1"/>
  <c r="CR28" i="1"/>
  <c r="CR27" i="1"/>
  <c r="CR26" i="1"/>
  <c r="CR25" i="1"/>
  <c r="CR24" i="1"/>
  <c r="CR23" i="1"/>
  <c r="CR22" i="1"/>
  <c r="CR21" i="1"/>
  <c r="CR20" i="1"/>
  <c r="CR19" i="1"/>
  <c r="CR18" i="1"/>
  <c r="CR17" i="1"/>
  <c r="CR16" i="1"/>
  <c r="CS16" i="1" s="1"/>
  <c r="CP32" i="1"/>
  <c r="CP31" i="1"/>
  <c r="CP30" i="1"/>
  <c r="CP29" i="1"/>
  <c r="CP28" i="1"/>
  <c r="CP27" i="1"/>
  <c r="CP26" i="1"/>
  <c r="CP25" i="1"/>
  <c r="CP24" i="1"/>
  <c r="CP23" i="1"/>
  <c r="CP22" i="1"/>
  <c r="CP21" i="1"/>
  <c r="CP20" i="1"/>
  <c r="CP19" i="1"/>
  <c r="CP18" i="1"/>
  <c r="CP17" i="1"/>
  <c r="CP16" i="1"/>
  <c r="CP14" i="1"/>
  <c r="DP11" i="1"/>
  <c r="DN11" i="1"/>
  <c r="DB11" i="1"/>
  <c r="CZ11" i="1"/>
  <c r="CT11" i="1"/>
  <c r="CG32" i="1"/>
  <c r="CG31" i="1"/>
  <c r="CG30" i="1"/>
  <c r="CG29" i="1"/>
  <c r="CG28" i="1"/>
  <c r="CG27" i="1"/>
  <c r="CG26" i="1"/>
  <c r="CG25" i="1"/>
  <c r="CG24" i="1"/>
  <c r="CG23" i="1"/>
  <c r="CG22" i="1"/>
  <c r="CG21" i="1"/>
  <c r="CG20" i="1"/>
  <c r="CG19" i="1"/>
  <c r="CG18" i="1"/>
  <c r="CG17" i="1"/>
  <c r="CG16" i="1"/>
  <c r="CG14" i="1"/>
  <c r="CG13" i="1"/>
  <c r="CE32" i="1"/>
  <c r="CE31" i="1"/>
  <c r="CE30" i="1"/>
  <c r="CE29" i="1"/>
  <c r="CE28" i="1"/>
  <c r="CE27" i="1"/>
  <c r="CE26" i="1"/>
  <c r="CE25" i="1"/>
  <c r="CE24" i="1"/>
  <c r="CE23" i="1"/>
  <c r="CE22" i="1"/>
  <c r="CE21" i="1"/>
  <c r="CE20" i="1"/>
  <c r="CE19" i="1"/>
  <c r="CE18" i="1"/>
  <c r="CE17" i="1"/>
  <c r="CE16" i="1"/>
  <c r="CE14" i="1"/>
  <c r="CE13" i="1"/>
  <c r="CC32" i="1"/>
  <c r="CC31" i="1"/>
  <c r="CC30" i="1"/>
  <c r="CC29" i="1"/>
  <c r="CC28" i="1"/>
  <c r="CC27" i="1"/>
  <c r="CC26" i="1"/>
  <c r="CC25" i="1"/>
  <c r="CC24" i="1"/>
  <c r="CC23" i="1"/>
  <c r="CC22" i="1"/>
  <c r="CC21" i="1"/>
  <c r="CC20" i="1"/>
  <c r="CC19" i="1"/>
  <c r="CC18" i="1"/>
  <c r="CC17" i="1"/>
  <c r="CC14" i="1"/>
  <c r="CC13" i="1"/>
  <c r="CC12" i="1"/>
  <c r="CA32" i="1"/>
  <c r="CA31" i="1"/>
  <c r="CA30" i="1"/>
  <c r="CA29" i="1"/>
  <c r="CA28" i="1"/>
  <c r="CA27" i="1"/>
  <c r="CA26" i="1"/>
  <c r="CA25" i="1"/>
  <c r="CA24" i="1"/>
  <c r="CA23" i="1"/>
  <c r="CA22" i="1"/>
  <c r="CA21" i="1"/>
  <c r="CA20" i="1"/>
  <c r="CA19" i="1"/>
  <c r="CA18" i="1"/>
  <c r="CA17" i="1"/>
  <c r="CA16" i="1"/>
  <c r="CA14" i="1"/>
  <c r="CA13" i="1"/>
  <c r="CA12" i="1"/>
  <c r="BY32" i="1"/>
  <c r="BY31" i="1"/>
  <c r="BY30" i="1"/>
  <c r="BY29" i="1"/>
  <c r="BY28" i="1"/>
  <c r="BY27" i="1"/>
  <c r="BY26" i="1"/>
  <c r="BY25" i="1"/>
  <c r="BY24" i="1"/>
  <c r="BY23" i="1"/>
  <c r="BY22" i="1"/>
  <c r="BY21" i="1"/>
  <c r="BY20" i="1"/>
  <c r="BY19" i="1"/>
  <c r="BY18" i="1"/>
  <c r="BY17" i="1"/>
  <c r="BY16" i="1"/>
  <c r="BY14" i="1"/>
  <c r="BY13" i="1"/>
  <c r="BY12" i="1"/>
  <c r="BW32" i="1"/>
  <c r="BW31" i="1"/>
  <c r="BW30" i="1"/>
  <c r="BW29" i="1"/>
  <c r="BW28" i="1"/>
  <c r="BW27" i="1"/>
  <c r="BW26" i="1"/>
  <c r="BW25" i="1"/>
  <c r="BW24" i="1"/>
  <c r="BW23" i="1"/>
  <c r="BW22" i="1"/>
  <c r="BW21" i="1"/>
  <c r="BW20" i="1"/>
  <c r="BW19" i="1"/>
  <c r="BW18" i="1"/>
  <c r="BW17" i="1"/>
  <c r="BW14" i="1"/>
  <c r="BW13" i="1"/>
  <c r="BW12" i="1"/>
  <c r="BU32" i="1"/>
  <c r="BU31" i="1"/>
  <c r="BU30" i="1"/>
  <c r="BU29" i="1"/>
  <c r="BU28" i="1"/>
  <c r="BU27" i="1"/>
  <c r="BU26" i="1"/>
  <c r="BU25" i="1"/>
  <c r="BU24" i="1"/>
  <c r="BU23" i="1"/>
  <c r="BU22" i="1"/>
  <c r="BU21" i="1"/>
  <c r="BU20" i="1"/>
  <c r="BU19" i="1"/>
  <c r="BU18" i="1"/>
  <c r="BU17" i="1"/>
  <c r="BU14" i="1"/>
  <c r="BU13" i="1"/>
  <c r="BU12" i="1"/>
  <c r="BS32" i="1"/>
  <c r="BS31" i="1"/>
  <c r="BS30" i="1"/>
  <c r="BS29" i="1"/>
  <c r="BS28" i="1"/>
  <c r="BS27" i="1"/>
  <c r="BS26" i="1"/>
  <c r="BS25" i="1"/>
  <c r="BS24" i="1"/>
  <c r="BS23" i="1"/>
  <c r="BS22" i="1"/>
  <c r="BS21" i="1"/>
  <c r="BS20" i="1"/>
  <c r="BS19" i="1"/>
  <c r="BS18" i="1"/>
  <c r="BS17" i="1"/>
  <c r="BS14" i="1"/>
  <c r="BS13" i="1"/>
  <c r="BS12" i="1"/>
  <c r="BQ32" i="1"/>
  <c r="BQ31" i="1"/>
  <c r="BQ30" i="1"/>
  <c r="BQ29" i="1"/>
  <c r="BQ28" i="1"/>
  <c r="BQ27" i="1"/>
  <c r="BQ26" i="1"/>
  <c r="BQ25" i="1"/>
  <c r="BQ24" i="1"/>
  <c r="BQ23" i="1"/>
  <c r="BQ22" i="1"/>
  <c r="BQ21" i="1"/>
  <c r="BQ20" i="1"/>
  <c r="BQ19" i="1"/>
  <c r="BQ18" i="1"/>
  <c r="BQ17" i="1"/>
  <c r="BQ14" i="1"/>
  <c r="BQ13" i="1"/>
  <c r="BO32" i="1"/>
  <c r="BO31" i="1"/>
  <c r="BO30" i="1"/>
  <c r="BO29" i="1"/>
  <c r="BO28" i="1"/>
  <c r="BO27" i="1"/>
  <c r="BO26" i="1"/>
  <c r="BO25" i="1"/>
  <c r="BO24" i="1"/>
  <c r="BO23" i="1"/>
  <c r="BO22" i="1"/>
  <c r="BO21" i="1"/>
  <c r="BO20" i="1"/>
  <c r="BO19" i="1"/>
  <c r="BO18" i="1"/>
  <c r="BO17" i="1"/>
  <c r="BO14" i="1"/>
  <c r="BO13" i="1"/>
  <c r="BO12" i="1"/>
  <c r="BM32" i="1"/>
  <c r="BM31" i="1"/>
  <c r="BM30" i="1"/>
  <c r="BM29" i="1"/>
  <c r="BM28" i="1"/>
  <c r="BM27" i="1"/>
  <c r="BM26" i="1"/>
  <c r="BM25" i="1"/>
  <c r="BM24" i="1"/>
  <c r="BM23" i="1"/>
  <c r="BM22" i="1"/>
  <c r="BM21" i="1"/>
  <c r="BM20" i="1"/>
  <c r="BM19" i="1"/>
  <c r="BM18" i="1"/>
  <c r="BM17" i="1"/>
  <c r="BM14" i="1"/>
  <c r="BM13" i="1"/>
  <c r="BM12" i="1"/>
  <c r="BK32" i="1"/>
  <c r="BK31" i="1"/>
  <c r="BK30" i="1"/>
  <c r="BK29" i="1"/>
  <c r="BK28" i="1"/>
  <c r="BK27" i="1"/>
  <c r="BK26" i="1"/>
  <c r="BK25" i="1"/>
  <c r="BK24" i="1"/>
  <c r="BK23" i="1"/>
  <c r="BK22" i="1"/>
  <c r="BK21" i="1"/>
  <c r="BK20" i="1"/>
  <c r="BK19" i="1"/>
  <c r="BK18" i="1"/>
  <c r="BK17" i="1"/>
  <c r="BK14" i="1"/>
  <c r="BK13" i="1"/>
  <c r="BK12" i="1"/>
  <c r="BI31" i="1"/>
  <c r="BI30" i="1"/>
  <c r="BI32" i="1"/>
  <c r="BI29" i="1"/>
  <c r="BI28" i="1"/>
  <c r="BI27" i="1"/>
  <c r="BI26" i="1"/>
  <c r="BI25" i="1"/>
  <c r="BI24" i="1"/>
  <c r="BI23" i="1"/>
  <c r="BI22" i="1"/>
  <c r="BI21" i="1"/>
  <c r="BI20" i="1"/>
  <c r="BI19" i="1"/>
  <c r="BI18" i="1"/>
  <c r="BI17" i="1"/>
  <c r="BI16" i="1"/>
  <c r="BI14" i="1"/>
  <c r="BI13" i="1"/>
  <c r="BI12" i="1"/>
  <c r="CG11" i="1"/>
  <c r="CE11" i="1"/>
  <c r="CC11" i="1"/>
  <c r="CA11" i="1"/>
  <c r="BY11" i="1"/>
  <c r="BW11" i="1"/>
  <c r="BU11" i="1"/>
  <c r="BS11" i="1"/>
  <c r="BQ11" i="1"/>
  <c r="BO11" i="1"/>
  <c r="BM11" i="1"/>
  <c r="BK11" i="1"/>
  <c r="BI11" i="1"/>
  <c r="BE32" i="1"/>
  <c r="BE31" i="1"/>
  <c r="BE30" i="1"/>
  <c r="BE29" i="1"/>
  <c r="BE28" i="1"/>
  <c r="BE27" i="1"/>
  <c r="BE26" i="1"/>
  <c r="BE25" i="1"/>
  <c r="BE24" i="1"/>
  <c r="BE23" i="1"/>
  <c r="BE22" i="1"/>
  <c r="BE21" i="1"/>
  <c r="BE20" i="1"/>
  <c r="BE19" i="1"/>
  <c r="BE18" i="1"/>
  <c r="BE17" i="1"/>
  <c r="BE14" i="1"/>
  <c r="BE13" i="1"/>
  <c r="BE12" i="1"/>
  <c r="BE11" i="1"/>
  <c r="BG32" i="1"/>
  <c r="BG31" i="1"/>
  <c r="BG30" i="1"/>
  <c r="BG29" i="1"/>
  <c r="BG28" i="1"/>
  <c r="BG27" i="1"/>
  <c r="BG26" i="1"/>
  <c r="BG25" i="1"/>
  <c r="BG24" i="1"/>
  <c r="BG23" i="1"/>
  <c r="BG22" i="1"/>
  <c r="BG21" i="1"/>
  <c r="BG20" i="1"/>
  <c r="BG19" i="1"/>
  <c r="BG18" i="1"/>
  <c r="BG17" i="1"/>
  <c r="BG14" i="1"/>
  <c r="BG13" i="1"/>
  <c r="BG12" i="1"/>
  <c r="CF32" i="1"/>
  <c r="CF31" i="1"/>
  <c r="CF30" i="1"/>
  <c r="CF29" i="1"/>
  <c r="CF28" i="1"/>
  <c r="CF27" i="1"/>
  <c r="CF26" i="1"/>
  <c r="CF25" i="1"/>
  <c r="CF24" i="1"/>
  <c r="CF23" i="1"/>
  <c r="CF22" i="1"/>
  <c r="CF21" i="1"/>
  <c r="CF20" i="1"/>
  <c r="CF19" i="1"/>
  <c r="CF18" i="1"/>
  <c r="CF17" i="1"/>
  <c r="CF16" i="1"/>
  <c r="CF15" i="1"/>
  <c r="CG15" i="1" s="1"/>
  <c r="CF14" i="1"/>
  <c r="CF13" i="1"/>
  <c r="CF12" i="1"/>
  <c r="CG12" i="1" s="1"/>
  <c r="CD32" i="1"/>
  <c r="CD31" i="1"/>
  <c r="CD30" i="1"/>
  <c r="CD29" i="1"/>
  <c r="CD28" i="1"/>
  <c r="CD27" i="1"/>
  <c r="CD26" i="1"/>
  <c r="CD25" i="1"/>
  <c r="CD24" i="1"/>
  <c r="CD23" i="1"/>
  <c r="CD22" i="1"/>
  <c r="CD21" i="1"/>
  <c r="CD20" i="1"/>
  <c r="CD19" i="1"/>
  <c r="CD18" i="1"/>
  <c r="CD17" i="1"/>
  <c r="CD16" i="1"/>
  <c r="CD15" i="1"/>
  <c r="CE15" i="1" s="1"/>
  <c r="CD13" i="1"/>
  <c r="CD12" i="1"/>
  <c r="CE12" i="1" s="1"/>
  <c r="CB32" i="1"/>
  <c r="CB31" i="1"/>
  <c r="CB30" i="1"/>
  <c r="CB29" i="1"/>
  <c r="CB28" i="1"/>
  <c r="CB27" i="1"/>
  <c r="CB26" i="1"/>
  <c r="CB25" i="1"/>
  <c r="CB24" i="1"/>
  <c r="CB23" i="1"/>
  <c r="CB22" i="1"/>
  <c r="CB21" i="1"/>
  <c r="CB20" i="1"/>
  <c r="CB19" i="1"/>
  <c r="CB18" i="1"/>
  <c r="CB17" i="1"/>
  <c r="CB13" i="1"/>
  <c r="BZ32" i="1"/>
  <c r="BZ31" i="1"/>
  <c r="BZ30" i="1"/>
  <c r="BZ29" i="1"/>
  <c r="BZ28" i="1"/>
  <c r="BZ27" i="1"/>
  <c r="BZ26" i="1"/>
  <c r="BZ25" i="1"/>
  <c r="BZ24" i="1"/>
  <c r="BZ23" i="1"/>
  <c r="BZ22" i="1"/>
  <c r="BZ21" i="1"/>
  <c r="BZ20" i="1"/>
  <c r="BZ19" i="1"/>
  <c r="BZ18" i="1"/>
  <c r="BZ17" i="1"/>
  <c r="BZ16" i="1"/>
  <c r="BZ14" i="1"/>
  <c r="BX32" i="1"/>
  <c r="BX31" i="1"/>
  <c r="BX30" i="1"/>
  <c r="BX29" i="1"/>
  <c r="BX28" i="1"/>
  <c r="BX27" i="1"/>
  <c r="BX26" i="1"/>
  <c r="BX25" i="1"/>
  <c r="BX24" i="1"/>
  <c r="BX23" i="1"/>
  <c r="BX22" i="1"/>
  <c r="BX21" i="1"/>
  <c r="BX20" i="1"/>
  <c r="BX19" i="1"/>
  <c r="BX18" i="1"/>
  <c r="BX17" i="1"/>
  <c r="BX16" i="1"/>
  <c r="BX14" i="1"/>
  <c r="BV32" i="1"/>
  <c r="BV31" i="1"/>
  <c r="BV30" i="1"/>
  <c r="BV29" i="1"/>
  <c r="BV28" i="1"/>
  <c r="BV27" i="1"/>
  <c r="BV26" i="1"/>
  <c r="BV25" i="1"/>
  <c r="BV24" i="1"/>
  <c r="BV23" i="1"/>
  <c r="BV22" i="1"/>
  <c r="BV21" i="1"/>
  <c r="BV20" i="1"/>
  <c r="BV19" i="1"/>
  <c r="BV18" i="1"/>
  <c r="BV17" i="1"/>
  <c r="BV13" i="1"/>
  <c r="BT32" i="1"/>
  <c r="BT31" i="1"/>
  <c r="BT30" i="1"/>
  <c r="BT29" i="1"/>
  <c r="BT28" i="1"/>
  <c r="BT27" i="1"/>
  <c r="BT26" i="1"/>
  <c r="BT25" i="1"/>
  <c r="BT24" i="1"/>
  <c r="BT23" i="1"/>
  <c r="BT22" i="1"/>
  <c r="BT21" i="1"/>
  <c r="BT20" i="1"/>
  <c r="BT19" i="1"/>
  <c r="BT18" i="1"/>
  <c r="BT17" i="1"/>
  <c r="BT13" i="1"/>
  <c r="BR32" i="1"/>
  <c r="BR31" i="1"/>
  <c r="BR30" i="1"/>
  <c r="BR29" i="1"/>
  <c r="BR28" i="1"/>
  <c r="BR27" i="1"/>
  <c r="BR26" i="1"/>
  <c r="BR25" i="1"/>
  <c r="BR24" i="1"/>
  <c r="BR23" i="1"/>
  <c r="BR22" i="1"/>
  <c r="BR21" i="1"/>
  <c r="BR20" i="1"/>
  <c r="BR19" i="1"/>
  <c r="BR18" i="1"/>
  <c r="BR17" i="1"/>
  <c r="BR16" i="1"/>
  <c r="BS16" i="1" s="1"/>
  <c r="BR15" i="1"/>
  <c r="BS15" i="1" s="1"/>
  <c r="BR14" i="1"/>
  <c r="BR12" i="1"/>
  <c r="BP32" i="1"/>
  <c r="BP31" i="1"/>
  <c r="BP30" i="1"/>
  <c r="BP29" i="1"/>
  <c r="BP28" i="1"/>
  <c r="BP27" i="1"/>
  <c r="BP26" i="1"/>
  <c r="BP25" i="1"/>
  <c r="BP24" i="1"/>
  <c r="BP23" i="1"/>
  <c r="BP22" i="1"/>
  <c r="BP21" i="1"/>
  <c r="BP20" i="1"/>
  <c r="BP19" i="1"/>
  <c r="BP18" i="1"/>
  <c r="BP17" i="1"/>
  <c r="BP15" i="1"/>
  <c r="BQ15" i="1" s="1"/>
  <c r="BP12" i="1"/>
  <c r="BQ12" i="1" s="1"/>
  <c r="BN32" i="1"/>
  <c r="BN31" i="1"/>
  <c r="BN30" i="1"/>
  <c r="BN29" i="1"/>
  <c r="BN28" i="1"/>
  <c r="BN27" i="1"/>
  <c r="BN26" i="1"/>
  <c r="BN25" i="1"/>
  <c r="BN24" i="1"/>
  <c r="BN23" i="1"/>
  <c r="BN22" i="1"/>
  <c r="BN21" i="1"/>
  <c r="BN20" i="1"/>
  <c r="BN19" i="1"/>
  <c r="BN18" i="1"/>
  <c r="BN17" i="1"/>
  <c r="BN13" i="1"/>
  <c r="BL32" i="1"/>
  <c r="BL31" i="1"/>
  <c r="BL30" i="1"/>
  <c r="BL29" i="1"/>
  <c r="BL28" i="1"/>
  <c r="BL27" i="1"/>
  <c r="BL26" i="1"/>
  <c r="BL25" i="1"/>
  <c r="BL24" i="1"/>
  <c r="BL23" i="1"/>
  <c r="BL22" i="1"/>
  <c r="BL21" i="1"/>
  <c r="BL20" i="1"/>
  <c r="BL19" i="1"/>
  <c r="BL18" i="1"/>
  <c r="BL17" i="1"/>
  <c r="BL14" i="1"/>
  <c r="BL13" i="1"/>
  <c r="BJ32" i="1"/>
  <c r="BJ31" i="1"/>
  <c r="BJ30" i="1"/>
  <c r="BJ29" i="1"/>
  <c r="BJ28" i="1"/>
  <c r="BJ27" i="1"/>
  <c r="BJ26" i="1"/>
  <c r="BJ25" i="1"/>
  <c r="BJ24" i="1"/>
  <c r="BJ23" i="1"/>
  <c r="BJ22" i="1"/>
  <c r="BJ21" i="1"/>
  <c r="BJ20" i="1"/>
  <c r="BJ19" i="1"/>
  <c r="BJ18" i="1"/>
  <c r="BJ17" i="1"/>
  <c r="BJ16" i="1"/>
  <c r="BK16" i="1" s="1"/>
  <c r="BJ14" i="1"/>
  <c r="BH32" i="1"/>
  <c r="BH31" i="1"/>
  <c r="BH30" i="1"/>
  <c r="BH29" i="1"/>
  <c r="BH28" i="1"/>
  <c r="BH27" i="1"/>
  <c r="BH26" i="1"/>
  <c r="BH25" i="1"/>
  <c r="BH24" i="1"/>
  <c r="BH23" i="1"/>
  <c r="BH22" i="1"/>
  <c r="BH21" i="1"/>
  <c r="BH20" i="1"/>
  <c r="BH19" i="1"/>
  <c r="BH18" i="1"/>
  <c r="BH17" i="1"/>
  <c r="BH16" i="1"/>
  <c r="CF11" i="1"/>
  <c r="CD11" i="1"/>
  <c r="BP11" i="1"/>
  <c r="BF32" i="1"/>
  <c r="BF31" i="1"/>
  <c r="BF30" i="1"/>
  <c r="BF29" i="1"/>
  <c r="BF28" i="1"/>
  <c r="BF27" i="1"/>
  <c r="BF26" i="1"/>
  <c r="BF25" i="1"/>
  <c r="BF24" i="1"/>
  <c r="BF23" i="1"/>
  <c r="BF22" i="1"/>
  <c r="BF21" i="1"/>
  <c r="BF20" i="1"/>
  <c r="BF19" i="1"/>
  <c r="BF18" i="1"/>
  <c r="BF17" i="1"/>
  <c r="BF13" i="1"/>
  <c r="BD32" i="1"/>
  <c r="BD31" i="1"/>
  <c r="BD30" i="1"/>
  <c r="BD29" i="1"/>
  <c r="BD28" i="1"/>
  <c r="BD27" i="1"/>
  <c r="BD26" i="1"/>
  <c r="BD25" i="1"/>
  <c r="BD24" i="1"/>
  <c r="BD23" i="1"/>
  <c r="BD22" i="1"/>
  <c r="BD21" i="1"/>
  <c r="BD20" i="1"/>
  <c r="BD19" i="1"/>
  <c r="BD18" i="1"/>
  <c r="BD17" i="1"/>
  <c r="BD15" i="1"/>
  <c r="BE15" i="1" s="1"/>
  <c r="BD14" i="1"/>
  <c r="BD13" i="1"/>
  <c r="BD12" i="1"/>
  <c r="BD11" i="1"/>
  <c r="DP14" i="1"/>
  <c r="DN14" i="1"/>
  <c r="DN13" i="1"/>
  <c r="DL12" i="1"/>
  <c r="DL13" i="1"/>
  <c r="DJ12" i="1"/>
  <c r="DH12" i="1"/>
  <c r="DF12" i="1"/>
  <c r="DF13" i="1"/>
  <c r="DD12" i="1"/>
  <c r="DD13" i="1"/>
  <c r="DB14" i="1"/>
  <c r="CZ14" i="1"/>
  <c r="CX12" i="1"/>
  <c r="CX13" i="1"/>
  <c r="CV12" i="1"/>
  <c r="CV13" i="1"/>
  <c r="CT14" i="1"/>
  <c r="CR12" i="1"/>
  <c r="CR14" i="1"/>
  <c r="CR13" i="1"/>
  <c r="CP12" i="1"/>
  <c r="CP13" i="1"/>
  <c r="DT11" i="1"/>
  <c r="DR11" i="1"/>
  <c r="DL11" i="1"/>
  <c r="DJ11" i="1"/>
  <c r="DH11" i="1"/>
  <c r="DF11" i="1"/>
  <c r="DD11" i="1"/>
  <c r="CX11" i="1"/>
  <c r="CV11" i="1"/>
  <c r="CR11" i="1"/>
  <c r="CP11" i="1"/>
  <c r="CD14" i="1"/>
  <c r="CB12" i="1"/>
  <c r="CB14" i="1"/>
  <c r="BZ12" i="1"/>
  <c r="BZ13" i="1"/>
  <c r="BX12" i="1"/>
  <c r="BX13" i="1"/>
  <c r="BV12" i="1"/>
  <c r="BV14" i="1"/>
  <c r="BT12" i="1"/>
  <c r="BT14" i="1"/>
  <c r="BR13" i="1"/>
  <c r="BP14" i="1"/>
  <c r="BP13" i="1"/>
  <c r="BN12" i="1"/>
  <c r="BN14" i="1"/>
  <c r="BL12" i="1"/>
  <c r="BJ12" i="1"/>
  <c r="BJ13" i="1"/>
  <c r="BH12" i="1"/>
  <c r="BH14" i="1"/>
  <c r="BH13" i="1"/>
  <c r="CB11" i="1"/>
  <c r="BZ11" i="1"/>
  <c r="BX11" i="1"/>
  <c r="BV11" i="1"/>
  <c r="BT11" i="1"/>
  <c r="BR11" i="1"/>
  <c r="BN11" i="1"/>
  <c r="BL11" i="1"/>
  <c r="BJ11" i="1"/>
  <c r="BH11" i="1"/>
  <c r="BF12" i="1"/>
  <c r="BF14" i="1"/>
  <c r="BP16" i="1"/>
  <c r="BV16" i="1"/>
  <c r="BT16" i="1"/>
  <c r="BN16" i="1"/>
  <c r="BL16" i="1"/>
  <c r="BD16" i="1"/>
  <c r="BF16" i="1"/>
  <c r="CB16" i="1"/>
  <c r="DR15" i="1"/>
  <c r="DJ15" i="1"/>
  <c r="DD15" i="1"/>
  <c r="BV15" i="1"/>
  <c r="BT15" i="1"/>
  <c r="BH15" i="1"/>
  <c r="DH15" i="1"/>
  <c r="CV15" i="1"/>
  <c r="CP15" i="1"/>
  <c r="DL15" i="1"/>
  <c r="DF15" i="1"/>
  <c r="CX15" i="1"/>
  <c r="BX15" i="1"/>
  <c r="BL15" i="1"/>
  <c r="BF15" i="1"/>
  <c r="BJ15" i="1"/>
  <c r="BN15" i="1"/>
  <c r="CB15" i="1"/>
  <c r="DT15" i="1"/>
  <c r="CR15" i="1"/>
  <c r="BZ15" i="1"/>
  <c r="BF11" i="1"/>
  <c r="CS15" i="1" l="1"/>
  <c r="DU15" i="1"/>
  <c r="CY15" i="1"/>
  <c r="DG15" i="1"/>
  <c r="DM15" i="1"/>
  <c r="CQ15" i="1"/>
  <c r="CW15" i="1"/>
  <c r="DI15" i="1"/>
  <c r="DE15" i="1"/>
  <c r="DK15" i="1"/>
  <c r="DS15" i="1"/>
  <c r="BG11" i="1"/>
  <c r="CC16" i="1"/>
  <c r="BQ16" i="1"/>
  <c r="BU16" i="1"/>
  <c r="BW16" i="1"/>
  <c r="BM16" i="1"/>
  <c r="BO16" i="1"/>
  <c r="BG16" i="1"/>
  <c r="BE16" i="1"/>
  <c r="BU15" i="1"/>
  <c r="CA15" i="1"/>
  <c r="CC15" i="1"/>
  <c r="BY15" i="1"/>
  <c r="BW15" i="1"/>
  <c r="BI15" i="1"/>
  <c r="BO15" i="1"/>
  <c r="BK15" i="1"/>
  <c r="BM15" i="1"/>
  <c r="BG15" i="1"/>
  <c r="AG10" i="1" l="1"/>
  <c r="AH10" i="1" s="1"/>
  <c r="AI10" i="1" s="1"/>
  <c r="AM19" i="1"/>
  <c r="CN32" i="1" l="1"/>
  <c r="CN31" i="1"/>
  <c r="CN30" i="1"/>
  <c r="CN29" i="1"/>
  <c r="CN28" i="1"/>
  <c r="CN27" i="1"/>
  <c r="CN26" i="1"/>
  <c r="CN25" i="1"/>
  <c r="CN24" i="1"/>
  <c r="CN23" i="1"/>
  <c r="CN22" i="1"/>
  <c r="CN21" i="1"/>
  <c r="CN20" i="1"/>
  <c r="CN19" i="1"/>
  <c r="CN18" i="1"/>
  <c r="CN17" i="1"/>
  <c r="CN16" i="1"/>
  <c r="CN15" i="1"/>
  <c r="CN14" i="1"/>
  <c r="CN11" i="1"/>
  <c r="CN12" i="1"/>
  <c r="CN13" i="1"/>
  <c r="BB12" i="1" l="1"/>
  <c r="CO32" i="1"/>
  <c r="CO31" i="1"/>
  <c r="CO30" i="1"/>
  <c r="CO29" i="1"/>
  <c r="CO28" i="1"/>
  <c r="CO27" i="1"/>
  <c r="CO26" i="1"/>
  <c r="CO25" i="1"/>
  <c r="CO24" i="1"/>
  <c r="CO23" i="1"/>
  <c r="CO22" i="1"/>
  <c r="CO21" i="1"/>
  <c r="CO20" i="1"/>
  <c r="CO19" i="1"/>
  <c r="CO18" i="1"/>
  <c r="CO17" i="1"/>
  <c r="CO16" i="1"/>
  <c r="CO15" i="1"/>
  <c r="CO14" i="1"/>
  <c r="CO13" i="1"/>
  <c r="CO12" i="1"/>
  <c r="CO11" i="1"/>
  <c r="CM32" i="1"/>
  <c r="CM31" i="1"/>
  <c r="CM30" i="1"/>
  <c r="CM29" i="1"/>
  <c r="CM28" i="1"/>
  <c r="CM27" i="1"/>
  <c r="CM26" i="1"/>
  <c r="CM25" i="1"/>
  <c r="CM24" i="1"/>
  <c r="CM23" i="1"/>
  <c r="CM22" i="1"/>
  <c r="CM21" i="1"/>
  <c r="CM20" i="1"/>
  <c r="CM19" i="1"/>
  <c r="CM18" i="1"/>
  <c r="CM17" i="1"/>
  <c r="CM16" i="1"/>
  <c r="CM15" i="1"/>
  <c r="CM14" i="1"/>
  <c r="CM13" i="1"/>
  <c r="CM12" i="1"/>
  <c r="CM11" i="1"/>
  <c r="BB11" i="1"/>
  <c r="BC11" i="1"/>
  <c r="AO15" i="1" l="1"/>
  <c r="DV15" i="1" s="1"/>
  <c r="AO16" i="1"/>
  <c r="DV16" i="1" s="1"/>
  <c r="AO32" i="1"/>
  <c r="DV32" i="1" s="1"/>
  <c r="AL32" i="1"/>
  <c r="AK32" i="1"/>
  <c r="AJ32" i="1"/>
  <c r="AO31" i="1"/>
  <c r="DV31" i="1" s="1"/>
  <c r="AL31" i="1"/>
  <c r="AK31" i="1"/>
  <c r="AJ31" i="1"/>
  <c r="AO30" i="1"/>
  <c r="DV30" i="1" s="1"/>
  <c r="AL30" i="1"/>
  <c r="AK30" i="1"/>
  <c r="AJ30" i="1"/>
  <c r="AO29" i="1"/>
  <c r="DV29" i="1" s="1"/>
  <c r="AL29" i="1"/>
  <c r="AK29" i="1"/>
  <c r="AJ29" i="1"/>
  <c r="AO28" i="1"/>
  <c r="DV28" i="1" s="1"/>
  <c r="AL28" i="1"/>
  <c r="AK28" i="1"/>
  <c r="AJ28" i="1"/>
  <c r="AO27" i="1"/>
  <c r="DV27" i="1" s="1"/>
  <c r="AL27" i="1"/>
  <c r="AK27" i="1"/>
  <c r="AJ27" i="1"/>
  <c r="AO26" i="1"/>
  <c r="DV26" i="1" s="1"/>
  <c r="AL26" i="1"/>
  <c r="AK26" i="1"/>
  <c r="AJ26" i="1"/>
  <c r="AO25" i="1"/>
  <c r="DV25" i="1" s="1"/>
  <c r="AL25" i="1"/>
  <c r="AK25" i="1"/>
  <c r="AJ25" i="1"/>
  <c r="AO24" i="1"/>
  <c r="DV24" i="1" s="1"/>
  <c r="AL24" i="1"/>
  <c r="AK24" i="1"/>
  <c r="AJ24" i="1"/>
  <c r="AO23" i="1"/>
  <c r="DV23" i="1" s="1"/>
  <c r="AL23" i="1"/>
  <c r="AK23" i="1"/>
  <c r="AJ23" i="1"/>
  <c r="AO22" i="1"/>
  <c r="DV22" i="1" s="1"/>
  <c r="AL22" i="1"/>
  <c r="AK22" i="1"/>
  <c r="AJ22" i="1"/>
  <c r="AO21" i="1"/>
  <c r="DV21" i="1" s="1"/>
  <c r="AL21" i="1"/>
  <c r="AK21" i="1"/>
  <c r="AJ21" i="1"/>
  <c r="AO20" i="1"/>
  <c r="DV20" i="1" s="1"/>
  <c r="AL20" i="1"/>
  <c r="AK20" i="1"/>
  <c r="AJ20" i="1"/>
  <c r="AO19" i="1"/>
  <c r="DV19" i="1" s="1"/>
  <c r="AL19" i="1"/>
  <c r="AK19" i="1"/>
  <c r="AJ19" i="1"/>
  <c r="AO18" i="1"/>
  <c r="DV18" i="1" s="1"/>
  <c r="AL18" i="1"/>
  <c r="AK18" i="1"/>
  <c r="AJ18" i="1"/>
  <c r="AO17" i="1"/>
  <c r="DV17" i="1" s="1"/>
  <c r="AL17" i="1"/>
  <c r="AK17" i="1"/>
  <c r="AJ17" i="1"/>
  <c r="AL16" i="1"/>
  <c r="AK16" i="1"/>
  <c r="AJ16" i="1"/>
  <c r="AL15" i="1"/>
  <c r="AK15" i="1"/>
  <c r="AJ15" i="1"/>
  <c r="AM31" i="1"/>
  <c r="AM18" i="1"/>
  <c r="AN30" i="1"/>
  <c r="AN26" i="1"/>
  <c r="AN22" i="1"/>
  <c r="AN18" i="1"/>
  <c r="AM27" i="1"/>
  <c r="AM30" i="1"/>
  <c r="AM32" i="1"/>
  <c r="AN29" i="1"/>
  <c r="AN21" i="1"/>
  <c r="AM29" i="1"/>
  <c r="AM17" i="1"/>
  <c r="AN25" i="1"/>
  <c r="AN17" i="1"/>
  <c r="AM25" i="1"/>
  <c r="AN31" i="1"/>
  <c r="AN23" i="1"/>
  <c r="AM23" i="1"/>
  <c r="AM21" i="1"/>
  <c r="AM26" i="1"/>
  <c r="AM28" i="1"/>
  <c r="AM24" i="1"/>
  <c r="AN32" i="1"/>
  <c r="AN28" i="1"/>
  <c r="AN24" i="1"/>
  <c r="AM22" i="1"/>
  <c r="AN27" i="1"/>
  <c r="AN13" i="1"/>
  <c r="AN19" i="1"/>
  <c r="AM20" i="1"/>
  <c r="AN20" i="1"/>
  <c r="AN14" i="1"/>
  <c r="AM15" i="1"/>
  <c r="AN15" i="1"/>
  <c r="AN12" i="1"/>
  <c r="AN16" i="1"/>
  <c r="AM16" i="1"/>
  <c r="AN11" i="1"/>
  <c r="F10" i="1" l="1"/>
  <c r="BF9" i="1" s="1"/>
  <c r="BD9" i="1"/>
  <c r="BC32" i="1"/>
  <c r="BC31" i="1"/>
  <c r="BC30" i="1"/>
  <c r="BC29" i="1"/>
  <c r="BC28" i="1"/>
  <c r="BC27" i="1"/>
  <c r="BC26" i="1"/>
  <c r="BC25" i="1"/>
  <c r="BC24" i="1"/>
  <c r="BC23" i="1"/>
  <c r="BC22" i="1"/>
  <c r="BC21" i="1"/>
  <c r="BC20" i="1"/>
  <c r="BC19" i="1"/>
  <c r="BC18" i="1"/>
  <c r="BC17" i="1"/>
  <c r="BC16" i="1"/>
  <c r="BC15" i="1"/>
  <c r="BC14" i="1"/>
  <c r="BC13" i="1"/>
  <c r="BC12" i="1"/>
  <c r="BB31" i="1"/>
  <c r="BA31" i="1"/>
  <c r="BB30" i="1"/>
  <c r="BA30" i="1"/>
  <c r="BB29" i="1"/>
  <c r="BA29" i="1"/>
  <c r="BB28" i="1"/>
  <c r="BA28" i="1"/>
  <c r="BB27" i="1"/>
  <c r="BA27" i="1"/>
  <c r="BB26" i="1"/>
  <c r="BA26" i="1"/>
  <c r="BB25" i="1"/>
  <c r="BA25" i="1"/>
  <c r="BA32" i="1"/>
  <c r="BA24" i="1"/>
  <c r="BA23" i="1"/>
  <c r="BA22" i="1"/>
  <c r="BA21" i="1"/>
  <c r="BA20" i="1"/>
  <c r="BA19" i="1"/>
  <c r="BA18" i="1"/>
  <c r="BA17" i="1"/>
  <c r="BA16" i="1"/>
  <c r="BA15" i="1"/>
  <c r="BA14" i="1"/>
  <c r="BA13" i="1"/>
  <c r="BA12" i="1"/>
  <c r="BA11" i="1"/>
  <c r="BB15" i="1"/>
  <c r="BB32" i="1"/>
  <c r="BB24" i="1"/>
  <c r="BB23" i="1"/>
  <c r="BB22" i="1"/>
  <c r="BB21" i="1"/>
  <c r="BB20" i="1"/>
  <c r="BB19" i="1"/>
  <c r="BB18" i="1"/>
  <c r="BB17" i="1"/>
  <c r="BB16" i="1"/>
  <c r="BB14" i="1"/>
  <c r="BB13" i="1"/>
  <c r="AJ14" i="1"/>
  <c r="AL14" i="1"/>
  <c r="AL11" i="1"/>
  <c r="AL13" i="1"/>
  <c r="AL12" i="1"/>
  <c r="AM13" i="1"/>
  <c r="AM14" i="1"/>
  <c r="AM12" i="1"/>
  <c r="AM11" i="1"/>
  <c r="AO14" i="1" l="1"/>
  <c r="DV14" i="1" s="1"/>
  <c r="AO12" i="1" l="1"/>
  <c r="DV12" i="1" s="1"/>
  <c r="AO13" i="1"/>
  <c r="DV13" i="1" s="1"/>
  <c r="AK14" i="1"/>
  <c r="AK13" i="1"/>
  <c r="AK12" i="1"/>
  <c r="AJ13" i="1"/>
  <c r="AJ12" i="1"/>
  <c r="AU32" i="1"/>
  <c r="AP32" i="1" s="1"/>
  <c r="AQ32" i="1" s="1"/>
  <c r="AR32" i="1" s="1"/>
  <c r="AU31" i="1"/>
  <c r="AP31" i="1" s="1"/>
  <c r="AQ31" i="1" s="1"/>
  <c r="AR31" i="1" s="1"/>
  <c r="AU30" i="1"/>
  <c r="AP30" i="1" s="1"/>
  <c r="AQ30" i="1" s="1"/>
  <c r="AR30" i="1" s="1"/>
  <c r="AU29" i="1"/>
  <c r="AP29" i="1" s="1"/>
  <c r="AQ29" i="1" s="1"/>
  <c r="AR29" i="1" s="1"/>
  <c r="AU28" i="1"/>
  <c r="AP28" i="1" s="1"/>
  <c r="AQ28" i="1" s="1"/>
  <c r="AR28" i="1" s="1"/>
  <c r="AU27" i="1"/>
  <c r="AP27" i="1" s="1"/>
  <c r="AQ27" i="1" s="1"/>
  <c r="AR27" i="1" s="1"/>
  <c r="AU26" i="1"/>
  <c r="AP26" i="1" s="1"/>
  <c r="AQ26" i="1" s="1"/>
  <c r="AR26" i="1" s="1"/>
  <c r="AU25" i="1"/>
  <c r="AP25" i="1" s="1"/>
  <c r="AQ25" i="1" s="1"/>
  <c r="AR25" i="1" s="1"/>
  <c r="AU24" i="1"/>
  <c r="AP24" i="1" s="1"/>
  <c r="AQ24" i="1" s="1"/>
  <c r="AR24" i="1" s="1"/>
  <c r="AU23" i="1"/>
  <c r="AP23" i="1" s="1"/>
  <c r="AQ23" i="1" s="1"/>
  <c r="AR23" i="1" s="1"/>
  <c r="AU22" i="1"/>
  <c r="AP22" i="1" s="1"/>
  <c r="AQ22" i="1" s="1"/>
  <c r="AR22" i="1" s="1"/>
  <c r="AU21" i="1"/>
  <c r="AP21" i="1" s="1"/>
  <c r="AQ21" i="1" s="1"/>
  <c r="AR21" i="1" s="1"/>
  <c r="AU20" i="1"/>
  <c r="AP20" i="1" s="1"/>
  <c r="AQ20" i="1" s="1"/>
  <c r="AR20" i="1" s="1"/>
  <c r="AU19" i="1"/>
  <c r="AP19" i="1" s="1"/>
  <c r="AQ19" i="1" s="1"/>
  <c r="AR19" i="1" s="1"/>
  <c r="AU18" i="1"/>
  <c r="AP18" i="1" s="1"/>
  <c r="AQ18" i="1" s="1"/>
  <c r="AR18" i="1" s="1"/>
  <c r="AU17" i="1"/>
  <c r="AP17" i="1" s="1"/>
  <c r="AQ17" i="1" s="1"/>
  <c r="AR17" i="1" s="1"/>
  <c r="AU16" i="1"/>
  <c r="AP16" i="1" s="1"/>
  <c r="AQ16" i="1" s="1"/>
  <c r="AR16" i="1" s="1"/>
  <c r="AU15" i="1"/>
  <c r="AP15" i="1" s="1"/>
  <c r="AQ15" i="1" s="1"/>
  <c r="AR15" i="1" s="1"/>
  <c r="AU14" i="1"/>
  <c r="AU13" i="1"/>
  <c r="AU12" i="1"/>
  <c r="AU11" i="1"/>
  <c r="AP14" i="1" l="1"/>
  <c r="AQ14" i="1" s="1"/>
  <c r="AR14" i="1" s="1"/>
  <c r="AP13" i="1"/>
  <c r="AQ13" i="1" s="1"/>
  <c r="AR13" i="1" s="1"/>
  <c r="AP12" i="1"/>
  <c r="AQ12" i="1" s="1"/>
  <c r="AR12" i="1" s="1"/>
  <c r="AK11" i="1" l="1"/>
  <c r="AP11" i="1" s="1"/>
  <c r="AJ11" i="1"/>
  <c r="AO11" i="1"/>
  <c r="DV11" i="1" s="1"/>
  <c r="G10" i="1"/>
  <c r="H10" i="1" l="1"/>
  <c r="BH9" i="1"/>
  <c r="AQ11" i="1"/>
  <c r="AR11" i="1" l="1"/>
  <c r="I10" i="1"/>
  <c r="BJ9" i="1"/>
  <c r="BL9" i="1" l="1"/>
  <c r="J10" i="1"/>
  <c r="K10" i="1" l="1"/>
  <c r="BN9" i="1"/>
  <c r="BP9" i="1" l="1"/>
  <c r="L10" i="1"/>
  <c r="M10" i="1" l="1"/>
  <c r="BR9" i="1"/>
  <c r="N10" i="1" l="1"/>
  <c r="BT9" i="1"/>
  <c r="O10" i="1" l="1"/>
  <c r="BV9" i="1"/>
  <c r="P10" i="1" l="1"/>
  <c r="BX9" i="1"/>
  <c r="Q10" i="1" l="1"/>
  <c r="BZ9" i="1"/>
  <c r="R10" i="1" l="1"/>
  <c r="CB9" i="1"/>
  <c r="S10" i="1" l="1"/>
  <c r="CD9" i="1"/>
  <c r="T10" i="1" l="1"/>
  <c r="CF9" i="1"/>
  <c r="U10" i="1" l="1"/>
  <c r="CP9" i="1"/>
  <c r="V10" i="1" l="1"/>
  <c r="CR9" i="1"/>
  <c r="W10" i="1" l="1"/>
  <c r="CT9" i="1"/>
  <c r="X10" i="1" l="1"/>
  <c r="CV9" i="1"/>
  <c r="Y10" i="1" l="1"/>
  <c r="CX9" i="1"/>
  <c r="Z10" i="1" l="1"/>
  <c r="CZ9" i="1"/>
  <c r="AA10" i="1" l="1"/>
  <c r="DB9" i="1"/>
  <c r="AB10" i="1" l="1"/>
  <c r="DD9" i="1"/>
  <c r="AC10" i="1" l="1"/>
  <c r="DF9" i="1"/>
  <c r="AD10" i="1" l="1"/>
  <c r="DH9" i="1"/>
  <c r="AE10" i="1" l="1"/>
  <c r="DJ9" i="1"/>
  <c r="AF10" i="1" l="1"/>
  <c r="DL9" i="1"/>
  <c r="DN9" i="1" l="1"/>
  <c r="DP9" i="1" l="1"/>
  <c r="DT9" i="1" l="1"/>
  <c r="DR9" i="1"/>
</calcChain>
</file>

<file path=xl/sharedStrings.xml><?xml version="1.0" encoding="utf-8"?>
<sst xmlns="http://schemas.openxmlformats.org/spreadsheetml/2006/main" count="153" uniqueCount="54">
  <si>
    <t>Табель</t>
  </si>
  <si>
    <t>обліку використання робочого часу</t>
  </si>
  <si>
    <t>№</t>
  </si>
  <si>
    <t>Посада</t>
  </si>
  <si>
    <t>числа місяця</t>
  </si>
  <si>
    <t>Дні фактичної роботи</t>
  </si>
  <si>
    <t>Дні неявок</t>
  </si>
  <si>
    <t>Вихідні та святкові дні</t>
  </si>
  <si>
    <t>Відпрацьованих годин, всього</t>
  </si>
  <si>
    <t>Ставка</t>
  </si>
  <si>
    <t>за 2023 року</t>
  </si>
  <si>
    <t>лікар-онколог</t>
  </si>
  <si>
    <t>сестр. госп.</t>
  </si>
  <si>
    <t>завідувач</t>
  </si>
  <si>
    <t>старша м/с</t>
  </si>
  <si>
    <t>м/с маніпул.</t>
  </si>
  <si>
    <t>м/б маніпул.</t>
  </si>
  <si>
    <t>м/с перев'яз.</t>
  </si>
  <si>
    <t>м/с полікін.</t>
  </si>
  <si>
    <t>м/с стаціон.</t>
  </si>
  <si>
    <t>м/б стаціон.</t>
  </si>
  <si>
    <t>молодша м/с</t>
  </si>
  <si>
    <t>буфетниця</t>
  </si>
  <si>
    <t>вихователь</t>
  </si>
  <si>
    <t>наук. співр.</t>
  </si>
  <si>
    <t>Іващенко А.Д.</t>
  </si>
  <si>
    <t>В</t>
  </si>
  <si>
    <t>ВП</t>
  </si>
  <si>
    <t>Петрик П.М.</t>
  </si>
  <si>
    <t>Прізвище І.Б.</t>
  </si>
  <si>
    <t>Необхідні години</t>
  </si>
  <si>
    <t>Невідповідність годин</t>
  </si>
  <si>
    <t>каштелян</t>
  </si>
  <si>
    <t>Зарицька  І.І.</t>
  </si>
  <si>
    <t>Супронович Т.Ю.</t>
  </si>
  <si>
    <t>з</t>
  </si>
  <si>
    <t>до</t>
  </si>
  <si>
    <t>Нічні години</t>
  </si>
  <si>
    <t>Відрядження</t>
  </si>
  <si>
    <t xml:space="preserve">Чергова відпустка </t>
  </si>
  <si>
    <t>Коєфіціент годин</t>
  </si>
  <si>
    <t>С</t>
  </si>
  <si>
    <t>Державне некомерційне підприємство "Національний інститут раку"</t>
  </si>
  <si>
    <t>Відділення - дитячої онкології</t>
  </si>
  <si>
    <t>Графік роботи #2</t>
  </si>
  <si>
    <t>Графік роботи #1</t>
  </si>
  <si>
    <t>Ст м/с Козловська А.В.</t>
  </si>
  <si>
    <t>Зав відділ. Павлик С.В.</t>
  </si>
  <si>
    <t>Всього годин</t>
  </si>
  <si>
    <r>
      <rPr>
        <b/>
        <sz val="10"/>
        <color theme="1"/>
        <rFont val="Calibri"/>
        <family val="2"/>
        <charset val="204"/>
        <scheme val="minor"/>
      </rPr>
      <t>Для активації макросів в Excel</t>
    </r>
    <r>
      <rPr>
        <sz val="10"/>
        <color theme="1"/>
        <rFont val="Calibri"/>
        <family val="2"/>
        <charset val="204"/>
        <scheme val="minor"/>
      </rPr>
      <t xml:space="preserve">, слід виконати наступні кроки:
</t>
    </r>
    <r>
      <rPr>
        <b/>
        <sz val="10"/>
        <color theme="1"/>
        <rFont val="Calibri"/>
        <family val="2"/>
        <charset val="204"/>
        <scheme val="minor"/>
      </rPr>
      <t>Відкрийте Excel</t>
    </r>
    <r>
      <rPr>
        <sz val="10"/>
        <color theme="1"/>
        <rFont val="Calibri"/>
        <family val="2"/>
        <charset val="204"/>
        <scheme val="minor"/>
      </rPr>
      <t xml:space="preserve">: Запустіть Microsoft Excel і відкрийте робочу книгу, в якій ви хочете активувати макроси.
</t>
    </r>
    <r>
      <rPr>
        <b/>
        <sz val="10"/>
        <color theme="1"/>
        <rFont val="Calibri"/>
        <family val="2"/>
        <charset val="204"/>
        <scheme val="minor"/>
      </rPr>
      <t>Доступ до параметрів Excel:</t>
    </r>
    <r>
      <rPr>
        <sz val="10"/>
        <color theme="1"/>
        <rFont val="Calibri"/>
        <family val="2"/>
        <charset val="204"/>
        <scheme val="minor"/>
      </rPr>
      <t xml:space="preserve">
     </t>
    </r>
    <r>
      <rPr>
        <u/>
        <sz val="10"/>
        <color theme="1"/>
        <rFont val="Calibri"/>
        <family val="2"/>
        <charset val="204"/>
        <scheme val="minor"/>
      </rPr>
      <t>Excel 2010 і пізніше</t>
    </r>
    <r>
      <rPr>
        <sz val="10"/>
        <color theme="1"/>
        <rFont val="Calibri"/>
        <family val="2"/>
        <charset val="204"/>
        <scheme val="minor"/>
      </rPr>
      <t xml:space="preserve">: Клацніть на вкладці "Файл" у ленті і відкрийте вкладку "Параметри".
     </t>
    </r>
    <r>
      <rPr>
        <u/>
        <sz val="10"/>
        <color theme="1"/>
        <rFont val="Calibri"/>
        <family val="2"/>
        <charset val="204"/>
        <scheme val="minor"/>
      </rPr>
      <t>Excel 2007</t>
    </r>
    <r>
      <rPr>
        <sz val="10"/>
        <color theme="1"/>
        <rFont val="Calibri"/>
        <family val="2"/>
        <charset val="204"/>
        <scheme val="minor"/>
      </rPr>
      <t xml:space="preserve">: Клацніть на кнопці "Офіс" (це кругла кнопка з логотипом Office) у верхньому лівому куті, а потім виберіть "Параметри Excel".
</t>
    </r>
    <r>
      <rPr>
        <b/>
        <sz val="10"/>
        <color theme="1"/>
        <rFont val="Calibri"/>
        <family val="2"/>
        <charset val="204"/>
        <scheme val="minor"/>
      </rPr>
      <t>Доступ до Центру захисту:</t>
    </r>
    <r>
      <rPr>
        <sz val="10"/>
        <color theme="1"/>
        <rFont val="Calibri"/>
        <family val="2"/>
        <charset val="204"/>
        <scheme val="minor"/>
      </rPr>
      <t xml:space="preserve">
     В вікні параметрів Excel перейдіть до розділу "Центр захисту".
</t>
    </r>
    <r>
      <rPr>
        <b/>
        <sz val="10"/>
        <color theme="1"/>
        <rFont val="Calibri"/>
        <family val="2"/>
        <charset val="204"/>
        <scheme val="minor"/>
      </rPr>
      <t>Доступ до параметрів макросів:</t>
    </r>
    <r>
      <rPr>
        <sz val="10"/>
        <color theme="1"/>
        <rFont val="Calibri"/>
        <family val="2"/>
        <charset val="204"/>
        <scheme val="minor"/>
      </rPr>
      <t xml:space="preserve">
     В Центрі захисту клацніть на "Параметри центра захисту."
</t>
    </r>
    <r>
      <rPr>
        <b/>
        <sz val="10"/>
        <color theme="1"/>
        <rFont val="Calibri"/>
        <family val="2"/>
        <charset val="204"/>
        <scheme val="minor"/>
      </rPr>
      <t>Активація макросів:</t>
    </r>
    <r>
      <rPr>
        <sz val="10"/>
        <color theme="1"/>
        <rFont val="Calibri"/>
        <family val="2"/>
        <charset val="204"/>
        <scheme val="minor"/>
      </rPr>
      <t xml:space="preserve">
     У вікні Центру захисту виберіть "Параметри макросів" зліва.
     Виберіть наступні варіанти:
         * </t>
    </r>
    <r>
      <rPr>
        <sz val="10"/>
        <color rgb="FF0000CC"/>
        <rFont val="Calibri"/>
        <family val="2"/>
        <charset val="204"/>
        <scheme val="minor"/>
      </rPr>
      <t xml:space="preserve">Дозволити всі макроси (не рекомендується; потенційно небезпечний код може запускатися): </t>
    </r>
    <r>
      <rPr>
        <sz val="10"/>
        <color theme="1"/>
        <rFont val="Calibri"/>
        <family val="2"/>
        <charset val="204"/>
        <scheme val="minor"/>
      </rPr>
      <t xml:space="preserve">Цей варіант дозволяє виконувати всі макроси без будь-якого попередження. Будьте обережні і використовуйте цей варіант лише з надійними документами.
         * </t>
    </r>
    <r>
      <rPr>
        <sz val="10"/>
        <color rgb="FF0000CC"/>
        <rFont val="Calibri"/>
        <family val="2"/>
        <charset val="204"/>
        <scheme val="minor"/>
      </rPr>
      <t>Довіряти доступ до об'єктної моделі проекту VBA:</t>
    </r>
    <r>
      <rPr>
        <sz val="10"/>
        <color theme="1"/>
        <rFont val="Calibri"/>
        <family val="2"/>
        <charset val="204"/>
        <scheme val="minor"/>
      </rPr>
      <t xml:space="preserve"> Цей параметр дозволяє програмний доступ до моделі об'єктної моделі Visual Basic for Applications (VBA), що необхідний для деяких складних функцій макросів.
</t>
    </r>
    <r>
      <rPr>
        <b/>
        <sz val="10"/>
        <color theme="1"/>
        <rFont val="Calibri"/>
        <family val="2"/>
        <charset val="204"/>
        <scheme val="minor"/>
      </rPr>
      <t>Натисніть ОК:</t>
    </r>
    <r>
      <rPr>
        <sz val="10"/>
        <color theme="1"/>
        <rFont val="Calibri"/>
        <family val="2"/>
        <charset val="204"/>
        <scheme val="minor"/>
      </rPr>
      <t xml:space="preserve"> Після вибору бажаного рівня безпеки макросів клацніть кнопку "ОК", щоб підтвердити ваш вибір.
</t>
    </r>
    <r>
      <rPr>
        <b/>
        <sz val="10"/>
        <color theme="1"/>
        <rFont val="Calibri"/>
        <family val="2"/>
        <charset val="204"/>
        <scheme val="minor"/>
      </rPr>
      <t>Збережіть і перезапустіть Excel:</t>
    </r>
    <r>
      <rPr>
        <sz val="10"/>
        <color theme="1"/>
        <rFont val="Calibri"/>
        <family val="2"/>
        <charset val="204"/>
        <scheme val="minor"/>
      </rPr>
      <t xml:space="preserve"> Якщо ви змінили параметри макросів у існуючій робочій книзі, збережіть її і закрийте Excel. Потім відкрийте Excel і робочу книгу знову, щоб зміни набрали чинності.</t>
    </r>
  </si>
  <si>
    <t>Початок робочого дня</t>
  </si>
  <si>
    <t>Зварич П.П.</t>
  </si>
  <si>
    <t>Кравецька С.Т.</t>
  </si>
  <si>
    <r>
      <t>Клітина "E10" призначена для внесення змін у місяць і рік.
В стовпці "C" виберіть "посаду" з наданих варіантів.
В стовпці "D" оберіть "ставку" з варіантів, що надаються.
Стовпчик "AQ" відображатиме невідповідність у годинах, яку потрібно виправити.
Стовпчик "AQ" визначатиме коефіцієнт годин для корекції (скільки годин потрібно додати або відняти від робочого дня).
Стовпчик "AS" дозволяє налаштувати початковий час робочого дня.
Будь ласка, користуйтеся лише форматом з крапкою для введення робочих годин, наприклад, "</t>
    </r>
    <r>
      <rPr>
        <sz val="12"/>
        <color rgb="FF0000CC"/>
        <rFont val="Calibri"/>
        <family val="2"/>
        <charset val="204"/>
        <scheme val="minor"/>
      </rPr>
      <t>7.7</t>
    </r>
    <r>
      <rPr>
        <sz val="12"/>
        <color theme="1"/>
        <rFont val="Calibri"/>
        <family val="2"/>
        <scheme val="minor"/>
      </rPr>
      <t>".
Для позначення нічних годин, використовуйте жирний шрифт, наприклад, "</t>
    </r>
    <r>
      <rPr>
        <b/>
        <sz val="12"/>
        <color rgb="FF0000CC"/>
        <rFont val="Calibri"/>
        <family val="2"/>
        <charset val="204"/>
        <scheme val="minor"/>
      </rPr>
      <t>8.0</t>
    </r>
    <r>
      <rPr>
        <sz val="12"/>
        <color theme="1"/>
        <rFont val="Calibri"/>
        <family val="2"/>
        <scheme val="minor"/>
      </rPr>
      <t>"</t>
    </r>
    <r>
      <rPr>
        <sz val="12"/>
        <color theme="1"/>
        <rFont val="Calibri"/>
        <family val="2"/>
        <charset val="204"/>
        <scheme val="minor"/>
      </rPr>
      <t>.</t>
    </r>
    <r>
      <rPr>
        <sz val="12"/>
        <color theme="1"/>
        <rFont val="Calibri"/>
        <family val="2"/>
        <scheme val="minor"/>
      </rPr>
      <t xml:space="preserve">
У вас є можливість використовувати такі скорочення:
   -   "</t>
    </r>
    <r>
      <rPr>
        <sz val="12"/>
        <color rgb="FF0000CC"/>
        <rFont val="Calibri"/>
        <family val="2"/>
        <charset val="204"/>
        <scheme val="minor"/>
      </rPr>
      <t>С</t>
    </r>
    <r>
      <rPr>
        <sz val="12"/>
        <color theme="1"/>
        <rFont val="Calibri"/>
        <family val="2"/>
        <scheme val="minor"/>
      </rPr>
      <t>" - свято
   -   "</t>
    </r>
    <r>
      <rPr>
        <sz val="12"/>
        <color rgb="FF0000CC"/>
        <rFont val="Calibri"/>
        <family val="2"/>
        <charset val="204"/>
        <scheme val="minor"/>
      </rPr>
      <t>ВП</t>
    </r>
    <r>
      <rPr>
        <sz val="12"/>
        <color theme="1"/>
        <rFont val="Calibri"/>
        <family val="2"/>
        <scheme val="minor"/>
      </rPr>
      <t>" - відпустка
   -   "</t>
    </r>
    <r>
      <rPr>
        <sz val="12"/>
        <color rgb="FF0000CC"/>
        <rFont val="Calibri"/>
        <family val="2"/>
        <charset val="204"/>
        <scheme val="minor"/>
      </rPr>
      <t>ВД</t>
    </r>
    <r>
      <rPr>
        <sz val="12"/>
        <color theme="1"/>
        <rFont val="Calibri"/>
        <family val="2"/>
        <scheme val="minor"/>
      </rPr>
      <t>" - відрядження
Будь ласка, вводьте ці позначення виключно українською мовою.</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</si>
</sst>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
    <numFmt numFmtId="165" formatCode="d/m;@"/>
    <numFmt numFmtId="166" formatCode="h:mm;@"/>
  </numFmts>
  <fonts count="39" x14ac:knownFonts="1">
    <font>
      <sz val="11"/>
      <color theme="1"/>
      <name val="Calibri"/>
      <family val="2"/>
      <scheme val="minor"/>
    </font>
    <font>
      <b/>
      <sz val="14"/>
      <name val="Arial"/>
      <family val="2"/>
      <charset val="204"/>
    </font>
    <font>
      <sz val="14"/>
      <name val="Arial"/>
      <family val="2"/>
      <charset val="204"/>
    </font>
    <font>
      <sz val="11"/>
      <name val="Arial"/>
      <family val="2"/>
      <charset val="204"/>
    </font>
    <font>
      <b/>
      <sz val="11"/>
      <name val="Arial"/>
      <family val="2"/>
      <charset val="204"/>
    </font>
    <font>
      <b/>
      <sz val="18"/>
      <name val="Arial"/>
      <family val="2"/>
      <charset val="204"/>
    </font>
    <font>
      <sz val="18"/>
      <name val="Arial"/>
      <family val="2"/>
      <charset val="204"/>
    </font>
    <font>
      <b/>
      <sz val="16"/>
      <name val="Arial"/>
      <family val="2"/>
      <charset val="204"/>
    </font>
    <font>
      <sz val="16"/>
      <name val="Arial"/>
      <family val="2"/>
      <charset val="204"/>
    </font>
    <font>
      <sz val="14"/>
      <color indexed="9"/>
      <name val="Arial"/>
      <family val="2"/>
      <charset val="204"/>
    </font>
    <font>
      <sz val="10"/>
      <color indexed="9"/>
      <name val="Arial"/>
      <family val="2"/>
      <charset val="204"/>
    </font>
    <font>
      <b/>
      <sz val="9"/>
      <name val="Arial"/>
      <family val="2"/>
      <charset val="204"/>
    </font>
    <font>
      <b/>
      <i/>
      <sz val="9"/>
      <name val="Arial"/>
      <family val="2"/>
      <charset val="204"/>
    </font>
    <font>
      <b/>
      <sz val="16"/>
      <color theme="1"/>
      <name val="Arial"/>
      <family val="2"/>
      <charset val="204"/>
    </font>
    <font>
      <sz val="11"/>
      <color theme="1"/>
      <name val="Arial"/>
      <family val="2"/>
      <charset val="204"/>
    </font>
    <font>
      <sz val="8"/>
      <color theme="0" tint="-0.499984740745262"/>
      <name val="Arial"/>
      <family val="2"/>
      <charset val="204"/>
    </font>
    <font>
      <sz val="10"/>
      <name val="Arial"/>
      <family val="2"/>
      <charset val="204"/>
    </font>
    <font>
      <sz val="11"/>
      <color theme="0" tint="-0.499984740745262"/>
      <name val="Calibri"/>
      <family val="2"/>
      <scheme val="minor"/>
    </font>
    <font>
      <b/>
      <sz val="12"/>
      <name val="Arial"/>
      <family val="2"/>
      <charset val="204"/>
    </font>
    <font>
      <b/>
      <sz val="10"/>
      <name val="Arial"/>
      <family val="2"/>
      <charset val="204"/>
    </font>
    <font>
      <b/>
      <i/>
      <sz val="11"/>
      <name val="Arial"/>
      <family val="2"/>
      <charset val="204"/>
    </font>
    <font>
      <i/>
      <sz val="10"/>
      <name val="Arial"/>
      <family val="2"/>
      <charset val="204"/>
    </font>
    <font>
      <sz val="11"/>
      <color theme="0"/>
      <name val="Calibri"/>
      <family val="2"/>
      <scheme val="minor"/>
    </font>
    <font>
      <sz val="18"/>
      <color theme="1"/>
      <name val="Arial"/>
      <family val="2"/>
      <charset val="204"/>
    </font>
    <font>
      <b/>
      <sz val="18"/>
      <color theme="1"/>
      <name val="Arial"/>
      <family val="2"/>
      <charset val="204"/>
    </font>
    <font>
      <sz val="8"/>
      <color theme="0"/>
      <name val="Arial"/>
      <family val="2"/>
      <charset val="204"/>
    </font>
    <font>
      <b/>
      <sz val="11"/>
      <color theme="1"/>
      <name val="Arial"/>
      <family val="2"/>
      <charset val="204"/>
    </font>
    <font>
      <sz val="8"/>
      <color theme="1"/>
      <name val="Calibri"/>
      <family val="2"/>
      <scheme val="minor"/>
    </font>
    <font>
      <sz val="8"/>
      <name val="Calibri"/>
      <family val="2"/>
      <charset val="204"/>
      <scheme val="minor"/>
    </font>
    <font>
      <sz val="12"/>
      <color theme="1"/>
      <name val="Calibri"/>
      <family val="2"/>
      <scheme val="minor"/>
    </font>
    <font>
      <b/>
      <sz val="12"/>
      <color rgb="FF0000CC"/>
      <name val="Calibri"/>
      <family val="2"/>
      <charset val="204"/>
      <scheme val="minor"/>
    </font>
    <font>
      <sz val="12"/>
      <color rgb="FF0000CC"/>
      <name val="Calibri"/>
      <family val="2"/>
      <charset val="204"/>
      <scheme val="minor"/>
    </font>
    <font>
      <sz val="10"/>
      <color theme="1"/>
      <name val="Calibri"/>
      <family val="2"/>
      <charset val="204"/>
      <scheme val="minor"/>
    </font>
    <font>
      <b/>
      <sz val="10"/>
      <color theme="1"/>
      <name val="Calibri"/>
      <family val="2"/>
      <charset val="204"/>
      <scheme val="minor"/>
    </font>
    <font>
      <u/>
      <sz val="10"/>
      <color theme="1"/>
      <name val="Calibri"/>
      <family val="2"/>
      <charset val="204"/>
      <scheme val="minor"/>
    </font>
    <font>
      <sz val="10"/>
      <color rgb="FF0000CC"/>
      <name val="Calibri"/>
      <family val="2"/>
      <charset val="204"/>
      <scheme val="minor"/>
    </font>
    <font>
      <sz val="12"/>
      <color theme="1"/>
      <name val="Calibri"/>
      <family val="2"/>
      <charset val="204"/>
      <scheme val="minor"/>
    </font>
    <font>
      <sz val="8"/>
      <color theme="1"/>
      <name val="Arial"/>
      <family val="2"/>
      <charset val="204"/>
    </font>
    <font>
      <b/>
      <sz val="9"/>
      <color theme="1"/>
      <name val="Arial"/>
      <family val="2"/>
      <charset val="204"/>
    </font>
  </fonts>
  <fills count="9">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5" tint="0.79998168889431442"/>
        <bgColor indexed="64"/>
      </patternFill>
    </fill>
  </fills>
  <borders count="33">
    <border>
      <left/>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thin">
        <color indexed="64"/>
      </top>
      <bottom style="medium">
        <color indexed="64"/>
      </bottom>
      <diagonal/>
    </border>
    <border>
      <left/>
      <right/>
      <top style="medium">
        <color indexed="64"/>
      </top>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thin">
        <color indexed="64"/>
      </top>
      <bottom style="medium">
        <color theme="1"/>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s>
  <cellStyleXfs count="1">
    <xf numFmtId="0" fontId="0" fillId="0" borderId="0"/>
  </cellStyleXfs>
  <cellXfs count="159">
    <xf numFmtId="0" fontId="0" fillId="0" borderId="0" xfId="0"/>
    <xf numFmtId="0" fontId="1" fillId="0" borderId="0" xfId="0" applyFont="1"/>
    <xf numFmtId="0" fontId="2" fillId="0" borderId="0" xfId="0" applyFont="1"/>
    <xf numFmtId="0" fontId="8" fillId="0" borderId="0" xfId="0" applyFont="1"/>
    <xf numFmtId="0" fontId="7" fillId="0" borderId="0" xfId="0" applyFont="1"/>
    <xf numFmtId="0" fontId="1" fillId="0" borderId="0" xfId="0" applyFont="1" applyAlignment="1">
      <alignment horizontal="left"/>
    </xf>
    <xf numFmtId="0" fontId="1" fillId="0" borderId="0" xfId="0" applyFont="1" applyAlignment="1">
      <alignment horizontal="left" vertical="top"/>
    </xf>
    <xf numFmtId="0" fontId="5" fillId="0" borderId="0" xfId="0" applyFont="1" applyAlignment="1">
      <alignment horizontal="center" vertical="center"/>
    </xf>
    <xf numFmtId="0" fontId="6" fillId="0" borderId="0" xfId="0" applyFont="1" applyAlignment="1">
      <alignment horizontal="center" vertical="center"/>
    </xf>
    <xf numFmtId="0" fontId="0" fillId="0" borderId="0" xfId="0" applyBorder="1"/>
    <xf numFmtId="0" fontId="7" fillId="0" borderId="0" xfId="0" applyFont="1" applyBorder="1" applyAlignment="1">
      <alignment horizontal="center" vertical="center"/>
    </xf>
    <xf numFmtId="0" fontId="3" fillId="2" borderId="11" xfId="0" applyFont="1" applyFill="1" applyBorder="1" applyAlignment="1">
      <alignment horizontal="center" vertical="center"/>
    </xf>
    <xf numFmtId="0" fontId="3" fillId="2" borderId="15" xfId="0" applyFont="1" applyFill="1" applyBorder="1" applyAlignment="1">
      <alignment horizontal="center" vertical="center"/>
    </xf>
    <xf numFmtId="0" fontId="14" fillId="2" borderId="15" xfId="0" applyFont="1" applyFill="1" applyBorder="1" applyAlignment="1">
      <alignment horizontal="center" vertical="center"/>
    </xf>
    <xf numFmtId="0" fontId="14" fillId="2" borderId="20" xfId="0" applyFont="1" applyFill="1" applyBorder="1" applyAlignment="1">
      <alignment horizontal="center" vertical="center"/>
    </xf>
    <xf numFmtId="0" fontId="0" fillId="0" borderId="0" xfId="0"/>
    <xf numFmtId="0" fontId="15" fillId="0" borderId="0" xfId="0" applyFont="1"/>
    <xf numFmtId="0" fontId="17" fillId="0" borderId="0" xfId="0" applyFont="1"/>
    <xf numFmtId="0" fontId="21" fillId="0" borderId="22" xfId="0" applyFont="1" applyFill="1" applyBorder="1" applyAlignment="1">
      <alignment horizontal="center"/>
    </xf>
    <xf numFmtId="0" fontId="21" fillId="2" borderId="22" xfId="0" applyFont="1" applyFill="1" applyBorder="1" applyAlignment="1">
      <alignment horizontal="center"/>
    </xf>
    <xf numFmtId="165" fontId="20" fillId="3" borderId="10" xfId="0" applyNumberFormat="1" applyFont="1" applyFill="1" applyBorder="1" applyAlignment="1">
      <alignment horizontal="center" vertical="center" textRotation="90" wrapText="1"/>
    </xf>
    <xf numFmtId="0" fontId="0" fillId="0" borderId="0" xfId="0"/>
    <xf numFmtId="166" fontId="16" fillId="0" borderId="0" xfId="0" applyNumberFormat="1" applyFont="1" applyFill="1" applyBorder="1" applyAlignment="1">
      <alignment horizontal="center" vertical="center"/>
    </xf>
    <xf numFmtId="0" fontId="23" fillId="0" borderId="0" xfId="0" applyFont="1"/>
    <xf numFmtId="0" fontId="24" fillId="0" borderId="0" xfId="0" applyFont="1" applyAlignment="1">
      <alignment horizontal="center" vertical="center"/>
    </xf>
    <xf numFmtId="0" fontId="18" fillId="0" borderId="0" xfId="0" applyFont="1" applyAlignment="1">
      <alignment horizontal="left" vertical="top"/>
    </xf>
    <xf numFmtId="0" fontId="22" fillId="0" borderId="0" xfId="0" applyFont="1"/>
    <xf numFmtId="0" fontId="22" fillId="0" borderId="0" xfId="0" applyFont="1" applyBorder="1"/>
    <xf numFmtId="0" fontId="25" fillId="0" borderId="0" xfId="0" applyFont="1" applyBorder="1"/>
    <xf numFmtId="2" fontId="25" fillId="3" borderId="0" xfId="0" applyNumberFormat="1" applyFont="1" applyFill="1" applyBorder="1" applyAlignment="1">
      <alignment horizontal="center" vertical="center"/>
    </xf>
    <xf numFmtId="0" fontId="0" fillId="0" borderId="21" xfId="0" applyBorder="1"/>
    <xf numFmtId="0" fontId="0" fillId="0" borderId="0" xfId="0"/>
    <xf numFmtId="0" fontId="0" fillId="0" borderId="0" xfId="0" applyAlignment="1">
      <alignment horizontal="left" vertical="center"/>
    </xf>
    <xf numFmtId="0" fontId="4" fillId="2" borderId="2" xfId="0" applyFont="1" applyFill="1" applyBorder="1" applyAlignment="1" applyProtection="1">
      <alignment horizontal="center" vertical="center" wrapText="1"/>
    </xf>
    <xf numFmtId="0" fontId="12" fillId="2" borderId="7" xfId="0" applyFont="1" applyFill="1" applyBorder="1" applyAlignment="1" applyProtection="1">
      <alignment horizontal="center" vertical="center" textRotation="90" wrapText="1"/>
    </xf>
    <xf numFmtId="0" fontId="19" fillId="2" borderId="7" xfId="0" applyFont="1" applyFill="1" applyBorder="1" applyAlignment="1" applyProtection="1">
      <alignment horizontal="center" vertical="center" textRotation="90" wrapText="1"/>
    </xf>
    <xf numFmtId="165" fontId="20" fillId="3" borderId="9" xfId="0" applyNumberFormat="1" applyFont="1" applyFill="1" applyBorder="1" applyAlignment="1" applyProtection="1">
      <alignment horizontal="center" vertical="center" textRotation="90" wrapText="1"/>
      <protection locked="0"/>
    </xf>
    <xf numFmtId="0" fontId="7" fillId="0" borderId="0" xfId="0" applyFont="1" applyProtection="1">
      <protection locked="0"/>
    </xf>
    <xf numFmtId="0" fontId="13" fillId="2" borderId="0" xfId="0" applyFont="1" applyFill="1" applyBorder="1" applyAlignment="1" applyProtection="1">
      <alignment horizontal="center" vertical="center"/>
      <protection locked="0"/>
    </xf>
    <xf numFmtId="0" fontId="18" fillId="0" borderId="0" xfId="0" applyFont="1" applyAlignment="1" applyProtection="1">
      <alignment horizontal="left" vertical="top"/>
      <protection locked="0"/>
    </xf>
    <xf numFmtId="0" fontId="18" fillId="0" borderId="0" xfId="0" applyFont="1" applyProtection="1">
      <protection locked="0"/>
    </xf>
    <xf numFmtId="165" fontId="20" fillId="3" borderId="10" xfId="0" applyNumberFormat="1" applyFont="1" applyFill="1" applyBorder="1" applyAlignment="1" applyProtection="1">
      <alignment horizontal="center" vertical="center" textRotation="90" wrapText="1"/>
      <protection locked="0"/>
    </xf>
    <xf numFmtId="0" fontId="1" fillId="0" borderId="0" xfId="0" applyFont="1" applyProtection="1"/>
    <xf numFmtId="0" fontId="1" fillId="0" borderId="0" xfId="0" applyFont="1" applyAlignment="1" applyProtection="1">
      <alignment horizontal="left"/>
    </xf>
    <xf numFmtId="0" fontId="1" fillId="0" borderId="0" xfId="0" applyFont="1" applyAlignment="1" applyProtection="1">
      <alignment horizontal="left" vertical="top"/>
    </xf>
    <xf numFmtId="0" fontId="2" fillId="0" borderId="0" xfId="0" applyFont="1" applyProtection="1"/>
    <xf numFmtId="0" fontId="6" fillId="0" borderId="0" xfId="0" applyFont="1" applyAlignment="1" applyProtection="1">
      <alignment horizontal="center" vertical="center"/>
    </xf>
    <xf numFmtId="0" fontId="10" fillId="2" borderId="4" xfId="0" applyFont="1" applyFill="1" applyBorder="1" applyAlignment="1" applyProtection="1">
      <alignment horizontal="center" vertical="center" wrapText="1"/>
    </xf>
    <xf numFmtId="0" fontId="10" fillId="2" borderId="5" xfId="0" applyFont="1" applyFill="1" applyBorder="1" applyAlignment="1" applyProtection="1">
      <alignment horizontal="center" vertical="center" wrapText="1"/>
    </xf>
    <xf numFmtId="0" fontId="0" fillId="0" borderId="21" xfId="0" applyBorder="1" applyProtection="1"/>
    <xf numFmtId="0" fontId="0" fillId="0" borderId="0" xfId="0" applyProtection="1"/>
    <xf numFmtId="0" fontId="7" fillId="0" borderId="0" xfId="0" applyFont="1" applyProtection="1"/>
    <xf numFmtId="0" fontId="9" fillId="2" borderId="4" xfId="0" applyFont="1" applyFill="1" applyBorder="1" applyAlignment="1" applyProtection="1">
      <alignment horizontal="center" vertical="center" wrapText="1"/>
    </xf>
    <xf numFmtId="0" fontId="3" fillId="2" borderId="12" xfId="0" applyFont="1" applyFill="1" applyBorder="1" applyAlignment="1" applyProtection="1">
      <alignment horizontal="left" vertical="center" shrinkToFit="1"/>
      <protection locked="0"/>
    </xf>
    <xf numFmtId="0" fontId="3" fillId="2" borderId="13" xfId="0" applyFont="1" applyFill="1" applyBorder="1" applyAlignment="1" applyProtection="1">
      <alignment horizontal="left" vertical="center" shrinkToFit="1"/>
      <protection locked="0"/>
    </xf>
    <xf numFmtId="2" fontId="3" fillId="2" borderId="13" xfId="0" applyNumberFormat="1" applyFont="1" applyFill="1" applyBorder="1" applyAlignment="1" applyProtection="1">
      <alignment horizontal="center" vertical="center" shrinkToFit="1"/>
      <protection locked="0"/>
    </xf>
    <xf numFmtId="164" fontId="14" fillId="3" borderId="14" xfId="0" applyNumberFormat="1" applyFont="1" applyFill="1" applyBorder="1" applyAlignment="1" applyProtection="1">
      <alignment horizontal="center" vertical="center" shrinkToFit="1"/>
      <protection locked="0"/>
    </xf>
    <xf numFmtId="164" fontId="3" fillId="3" borderId="14" xfId="0" applyNumberFormat="1" applyFont="1" applyFill="1" applyBorder="1" applyAlignment="1" applyProtection="1">
      <alignment horizontal="center" vertical="center" shrinkToFit="1"/>
      <protection locked="0"/>
    </xf>
    <xf numFmtId="164" fontId="26" fillId="3" borderId="12" xfId="0" applyNumberFormat="1" applyFont="1" applyFill="1" applyBorder="1" applyAlignment="1" applyProtection="1">
      <alignment horizontal="center" vertical="center" shrinkToFit="1"/>
      <protection locked="0"/>
    </xf>
    <xf numFmtId="0" fontId="3" fillId="2" borderId="16" xfId="0" applyFont="1" applyFill="1" applyBorder="1" applyAlignment="1" applyProtection="1">
      <alignment horizontal="left" vertical="center" shrinkToFit="1"/>
      <protection locked="0"/>
    </xf>
    <xf numFmtId="0" fontId="3" fillId="2" borderId="17" xfId="0" applyFont="1" applyFill="1" applyBorder="1" applyAlignment="1" applyProtection="1">
      <alignment horizontal="left" vertical="center" shrinkToFit="1"/>
      <protection locked="0"/>
    </xf>
    <xf numFmtId="2" fontId="3" fillId="2" borderId="17" xfId="0" applyNumberFormat="1" applyFont="1" applyFill="1" applyBorder="1" applyAlignment="1" applyProtection="1">
      <alignment horizontal="center" vertical="center" shrinkToFit="1"/>
      <protection locked="0"/>
    </xf>
    <xf numFmtId="164" fontId="14" fillId="3" borderId="12" xfId="0" applyNumberFormat="1" applyFont="1" applyFill="1" applyBorder="1" applyAlignment="1" applyProtection="1">
      <alignment horizontal="center" vertical="center" shrinkToFit="1"/>
      <protection locked="0"/>
    </xf>
    <xf numFmtId="164" fontId="26" fillId="3" borderId="14" xfId="0" applyNumberFormat="1" applyFont="1" applyFill="1" applyBorder="1" applyAlignment="1" applyProtection="1">
      <alignment horizontal="center" vertical="center" shrinkToFit="1"/>
      <protection locked="0"/>
    </xf>
    <xf numFmtId="164" fontId="14" fillId="3" borderId="16" xfId="0" applyNumberFormat="1" applyFont="1" applyFill="1" applyBorder="1" applyAlignment="1" applyProtection="1">
      <alignment horizontal="center" vertical="center" shrinkToFit="1"/>
      <protection locked="0"/>
    </xf>
    <xf numFmtId="164" fontId="3" fillId="3" borderId="16" xfId="0" applyNumberFormat="1" applyFont="1" applyFill="1" applyBorder="1" applyAlignment="1" applyProtection="1">
      <alignment horizontal="center" vertical="center" shrinkToFit="1"/>
      <protection locked="0"/>
    </xf>
    <xf numFmtId="164" fontId="3" fillId="3" borderId="12" xfId="0" applyNumberFormat="1" applyFont="1" applyFill="1" applyBorder="1" applyAlignment="1" applyProtection="1">
      <alignment horizontal="center" vertical="center" shrinkToFit="1"/>
      <protection locked="0"/>
    </xf>
    <xf numFmtId="164" fontId="4" fillId="3" borderId="12" xfId="0" applyNumberFormat="1" applyFont="1" applyFill="1" applyBorder="1" applyAlignment="1" applyProtection="1">
      <alignment horizontal="center" vertical="center" shrinkToFit="1"/>
      <protection locked="0"/>
    </xf>
    <xf numFmtId="164" fontId="4" fillId="3" borderId="14" xfId="0" applyNumberFormat="1" applyFont="1" applyFill="1" applyBorder="1" applyAlignment="1" applyProtection="1">
      <alignment horizontal="center" vertical="center" shrinkToFit="1"/>
      <protection locked="0"/>
    </xf>
    <xf numFmtId="0" fontId="14" fillId="2" borderId="0" xfId="0" applyFont="1" applyFill="1" applyBorder="1" applyAlignment="1" applyProtection="1">
      <alignment horizontal="left" vertical="center" shrinkToFit="1"/>
      <protection locked="0"/>
    </xf>
    <xf numFmtId="0" fontId="3" fillId="2" borderId="18" xfId="0" applyFont="1" applyFill="1" applyBorder="1" applyAlignment="1" applyProtection="1">
      <alignment horizontal="left" vertical="center" shrinkToFit="1"/>
      <protection locked="0"/>
    </xf>
    <xf numFmtId="0" fontId="3" fillId="2" borderId="19" xfId="0" applyFont="1" applyFill="1" applyBorder="1" applyAlignment="1" applyProtection="1">
      <alignment horizontal="left" vertical="center" shrinkToFit="1"/>
      <protection locked="0"/>
    </xf>
    <xf numFmtId="0" fontId="3" fillId="2" borderId="10" xfId="0" applyFont="1" applyFill="1" applyBorder="1" applyAlignment="1" applyProtection="1">
      <alignment horizontal="left" vertical="center" shrinkToFit="1"/>
      <protection locked="0"/>
    </xf>
    <xf numFmtId="1" fontId="3" fillId="2" borderId="11" xfId="0" applyNumberFormat="1" applyFont="1" applyFill="1" applyBorder="1" applyAlignment="1" applyProtection="1">
      <alignment horizontal="center" vertical="center" shrinkToFit="1"/>
    </xf>
    <xf numFmtId="1" fontId="3" fillId="2" borderId="12" xfId="0" applyNumberFormat="1" applyFont="1" applyFill="1" applyBorder="1" applyAlignment="1" applyProtection="1">
      <alignment horizontal="center" vertical="center" shrinkToFit="1"/>
    </xf>
    <xf numFmtId="164" fontId="3" fillId="2" borderId="13" xfId="0" applyNumberFormat="1" applyFont="1" applyFill="1" applyBorder="1" applyAlignment="1" applyProtection="1">
      <alignment horizontal="center" vertical="center" shrinkToFit="1"/>
    </xf>
    <xf numFmtId="1" fontId="3" fillId="2" borderId="16" xfId="0" applyNumberFormat="1" applyFont="1" applyFill="1" applyBorder="1" applyAlignment="1" applyProtection="1">
      <alignment horizontal="center" vertical="center" shrinkToFit="1"/>
    </xf>
    <xf numFmtId="164" fontId="3" fillId="2" borderId="17" xfId="0" applyNumberFormat="1" applyFont="1" applyFill="1" applyBorder="1" applyAlignment="1" applyProtection="1">
      <alignment horizontal="center" vertical="center" shrinkToFit="1"/>
    </xf>
    <xf numFmtId="166" fontId="16" fillId="0" borderId="12" xfId="0" applyNumberFormat="1" applyFont="1" applyFill="1" applyBorder="1" applyAlignment="1">
      <alignment horizontal="center" vertical="center" shrinkToFit="1"/>
    </xf>
    <xf numFmtId="0" fontId="27" fillId="0" borderId="0" xfId="0" applyFont="1"/>
    <xf numFmtId="0" fontId="28" fillId="0" borderId="0" xfId="0" applyFont="1"/>
    <xf numFmtId="0" fontId="0" fillId="0" borderId="0" xfId="0" applyAlignment="1">
      <alignment horizontal="left" vertical="top" wrapText="1"/>
    </xf>
    <xf numFmtId="0" fontId="29" fillId="4" borderId="0" xfId="0" applyFont="1" applyFill="1" applyAlignment="1">
      <alignment horizontal="left" vertical="top" wrapText="1"/>
    </xf>
    <xf numFmtId="0" fontId="32" fillId="6" borderId="0" xfId="0" applyFont="1" applyFill="1" applyAlignment="1">
      <alignment horizontal="left" vertical="top" wrapText="1" shrinkToFit="1"/>
    </xf>
    <xf numFmtId="164" fontId="3" fillId="2" borderId="25" xfId="0" applyNumberFormat="1" applyFont="1" applyFill="1" applyBorder="1" applyAlignment="1" applyProtection="1">
      <alignment horizontal="center" vertical="center" shrinkToFit="1"/>
    </xf>
    <xf numFmtId="164" fontId="14" fillId="4" borderId="27" xfId="0" applyNumberFormat="1" applyFont="1" applyFill="1" applyBorder="1" applyAlignment="1" applyProtection="1">
      <alignment horizontal="center" vertical="center" shrinkToFit="1"/>
    </xf>
    <xf numFmtId="164" fontId="14" fillId="8" borderId="26" xfId="0" applyNumberFormat="1" applyFont="1" applyFill="1" applyBorder="1" applyAlignment="1" applyProtection="1">
      <alignment horizontal="center" vertical="center" shrinkToFit="1"/>
    </xf>
    <xf numFmtId="2" fontId="14" fillId="5" borderId="26" xfId="0" applyNumberFormat="1" applyFont="1" applyFill="1" applyBorder="1" applyAlignment="1" applyProtection="1">
      <alignment shrinkToFit="1"/>
    </xf>
    <xf numFmtId="164" fontId="14" fillId="4" borderId="15" xfId="0" applyNumberFormat="1" applyFont="1" applyFill="1" applyBorder="1" applyAlignment="1" applyProtection="1">
      <alignment horizontal="center" vertical="center" shrinkToFit="1"/>
    </xf>
    <xf numFmtId="164" fontId="14" fillId="8" borderId="16" xfId="0" applyNumberFormat="1" applyFont="1" applyFill="1" applyBorder="1" applyAlignment="1" applyProtection="1">
      <alignment horizontal="center" vertical="center" shrinkToFit="1"/>
    </xf>
    <xf numFmtId="2" fontId="14" fillId="5" borderId="16" xfId="0" applyNumberFormat="1" applyFont="1" applyFill="1" applyBorder="1" applyAlignment="1" applyProtection="1">
      <alignment shrinkToFit="1"/>
    </xf>
    <xf numFmtId="164" fontId="14" fillId="4" borderId="20" xfId="0" applyNumberFormat="1" applyFont="1" applyFill="1" applyBorder="1" applyAlignment="1" applyProtection="1">
      <alignment horizontal="center" vertical="center" shrinkToFit="1"/>
    </xf>
    <xf numFmtId="164" fontId="14" fillId="8" borderId="10" xfId="0" applyNumberFormat="1" applyFont="1" applyFill="1" applyBorder="1" applyAlignment="1" applyProtection="1">
      <alignment horizontal="center" vertical="center" shrinkToFit="1"/>
    </xf>
    <xf numFmtId="2" fontId="14" fillId="5" borderId="10" xfId="0" applyNumberFormat="1" applyFont="1" applyFill="1" applyBorder="1" applyAlignment="1" applyProtection="1">
      <alignment shrinkToFit="1"/>
    </xf>
    <xf numFmtId="0" fontId="3" fillId="0" borderId="28" xfId="0" applyFont="1" applyFill="1" applyBorder="1" applyAlignment="1">
      <alignment horizontal="left" vertical="center" shrinkToFit="1"/>
    </xf>
    <xf numFmtId="0" fontId="3" fillId="0" borderId="17" xfId="0" applyFont="1" applyFill="1" applyBorder="1" applyAlignment="1">
      <alignment horizontal="left" vertical="center" shrinkToFit="1"/>
    </xf>
    <xf numFmtId="0" fontId="3" fillId="0" borderId="29" xfId="0" applyFont="1" applyFill="1" applyBorder="1" applyAlignment="1">
      <alignment horizontal="left" vertical="center" shrinkToFit="1"/>
    </xf>
    <xf numFmtId="166" fontId="16" fillId="0" borderId="26" xfId="0" applyNumberFormat="1" applyFont="1" applyFill="1" applyBorder="1" applyAlignment="1">
      <alignment horizontal="center" vertical="center" shrinkToFit="1"/>
    </xf>
    <xf numFmtId="166" fontId="16" fillId="0" borderId="28" xfId="0" applyNumberFormat="1" applyFont="1" applyFill="1" applyBorder="1" applyAlignment="1">
      <alignment horizontal="center" vertical="center" shrinkToFit="1"/>
    </xf>
    <xf numFmtId="166" fontId="16" fillId="0" borderId="13" xfId="0" applyNumberFormat="1" applyFont="1" applyFill="1" applyBorder="1" applyAlignment="1">
      <alignment horizontal="center" vertical="center" shrinkToFit="1"/>
    </xf>
    <xf numFmtId="166" fontId="16" fillId="0" borderId="7" xfId="0" applyNumberFormat="1" applyFont="1" applyFill="1" applyBorder="1" applyAlignment="1">
      <alignment horizontal="center" vertical="center" shrinkToFit="1"/>
    </xf>
    <xf numFmtId="166" fontId="16" fillId="0" borderId="8" xfId="0" applyNumberFormat="1" applyFont="1" applyFill="1" applyBorder="1" applyAlignment="1">
      <alignment horizontal="center" vertical="center" shrinkToFit="1"/>
    </xf>
    <xf numFmtId="0" fontId="3" fillId="0" borderId="27" xfId="0" applyFont="1" applyFill="1" applyBorder="1" applyAlignment="1">
      <alignment horizontal="center" vertical="center"/>
    </xf>
    <xf numFmtId="49" fontId="3" fillId="0" borderId="26" xfId="0" applyNumberFormat="1" applyFont="1" applyFill="1" applyBorder="1" applyAlignment="1">
      <alignment horizontal="left" vertical="center" shrinkToFit="1"/>
    </xf>
    <xf numFmtId="0" fontId="3" fillId="0" borderId="15" xfId="0" applyFont="1" applyFill="1" applyBorder="1" applyAlignment="1">
      <alignment horizontal="center" vertical="center"/>
    </xf>
    <xf numFmtId="49" fontId="3" fillId="0" borderId="16" xfId="0" applyNumberFormat="1" applyFont="1" applyFill="1" applyBorder="1" applyAlignment="1">
      <alignment horizontal="left" vertical="center" shrinkToFit="1"/>
    </xf>
    <xf numFmtId="0" fontId="3" fillId="0" borderId="16" xfId="0" applyFont="1" applyFill="1" applyBorder="1" applyAlignment="1">
      <alignment horizontal="left" vertical="center" shrinkToFit="1"/>
    </xf>
    <xf numFmtId="0" fontId="3" fillId="0" borderId="20" xfId="0" applyFont="1" applyFill="1" applyBorder="1" applyAlignment="1">
      <alignment horizontal="center" vertical="center"/>
    </xf>
    <xf numFmtId="49" fontId="3" fillId="0" borderId="10" xfId="0" applyNumberFormat="1" applyFont="1" applyFill="1" applyBorder="1" applyAlignment="1">
      <alignment horizontal="left" vertical="center" shrinkToFit="1"/>
    </xf>
    <xf numFmtId="0" fontId="3" fillId="0" borderId="26" xfId="0" applyFont="1" applyFill="1" applyBorder="1" applyAlignment="1">
      <alignment horizontal="left" vertical="center" shrinkToFit="1"/>
    </xf>
    <xf numFmtId="0" fontId="3" fillId="0" borderId="10" xfId="0" applyFont="1" applyFill="1" applyBorder="1" applyAlignment="1">
      <alignment horizontal="left" vertical="center" shrinkToFit="1"/>
    </xf>
    <xf numFmtId="164" fontId="3" fillId="2" borderId="30" xfId="0" applyNumberFormat="1" applyFont="1" applyFill="1" applyBorder="1" applyAlignment="1">
      <alignment horizontal="center" vertical="center" shrinkToFit="1"/>
    </xf>
    <xf numFmtId="164" fontId="3" fillId="2" borderId="31" xfId="0" applyNumberFormat="1" applyFont="1" applyFill="1" applyBorder="1" applyAlignment="1">
      <alignment horizontal="center" vertical="center" shrinkToFit="1"/>
    </xf>
    <xf numFmtId="164" fontId="3" fillId="2" borderId="32" xfId="0" applyNumberFormat="1" applyFont="1" applyFill="1" applyBorder="1" applyAlignment="1">
      <alignment horizontal="center" vertical="center" shrinkToFit="1"/>
    </xf>
    <xf numFmtId="0" fontId="0" fillId="0" borderId="0" xfId="0" applyFont="1"/>
    <xf numFmtId="0" fontId="0" fillId="0" borderId="0" xfId="0" applyFont="1" applyBorder="1"/>
    <xf numFmtId="0" fontId="37" fillId="0" borderId="0" xfId="0" applyFont="1"/>
    <xf numFmtId="166" fontId="16" fillId="0" borderId="27" xfId="0" applyNumberFormat="1" applyFont="1" applyFill="1" applyBorder="1" applyAlignment="1">
      <alignment horizontal="center" vertical="center" shrinkToFit="1"/>
    </xf>
    <xf numFmtId="166" fontId="16" fillId="0" borderId="11" xfId="0" applyNumberFormat="1" applyFont="1" applyFill="1" applyBorder="1" applyAlignment="1">
      <alignment horizontal="center" vertical="center" shrinkToFit="1"/>
    </xf>
    <xf numFmtId="166" fontId="16" fillId="0" borderId="6" xfId="0" applyNumberFormat="1" applyFont="1" applyFill="1" applyBorder="1" applyAlignment="1">
      <alignment horizontal="center" vertical="center" shrinkToFit="1"/>
    </xf>
    <xf numFmtId="166" fontId="14" fillId="7" borderId="28" xfId="0" applyNumberFormat="1" applyFont="1" applyFill="1" applyBorder="1" applyAlignment="1" applyProtection="1">
      <alignment horizontal="center" vertical="center" shrinkToFit="1"/>
      <protection locked="0"/>
    </xf>
    <xf numFmtId="166" fontId="14" fillId="7" borderId="17" xfId="0" applyNumberFormat="1" applyFont="1" applyFill="1" applyBorder="1" applyAlignment="1" applyProtection="1">
      <alignment horizontal="center" vertical="center" shrinkToFit="1"/>
      <protection locked="0"/>
    </xf>
    <xf numFmtId="166" fontId="14" fillId="7" borderId="29" xfId="0" applyNumberFormat="1" applyFont="1" applyFill="1" applyBorder="1" applyAlignment="1" applyProtection="1">
      <alignment horizontal="center" vertical="center" shrinkToFit="1"/>
      <protection locked="0"/>
    </xf>
    <xf numFmtId="166" fontId="16" fillId="0" borderId="15" xfId="0" applyNumberFormat="1" applyFont="1" applyFill="1" applyBorder="1" applyAlignment="1">
      <alignment horizontal="center" vertical="center" shrinkToFit="1"/>
    </xf>
    <xf numFmtId="166" fontId="16" fillId="0" borderId="16" xfId="0" applyNumberFormat="1" applyFont="1" applyFill="1" applyBorder="1" applyAlignment="1">
      <alignment horizontal="center" vertical="center" shrinkToFit="1"/>
    </xf>
    <xf numFmtId="166" fontId="16" fillId="0" borderId="17" xfId="0" applyNumberFormat="1" applyFont="1" applyFill="1" applyBorder="1" applyAlignment="1">
      <alignment horizontal="center" vertical="center" shrinkToFit="1"/>
    </xf>
    <xf numFmtId="166" fontId="16" fillId="0" borderId="20" xfId="0" applyNumberFormat="1" applyFont="1" applyFill="1" applyBorder="1" applyAlignment="1">
      <alignment horizontal="center" vertical="center" shrinkToFit="1"/>
    </xf>
    <xf numFmtId="166" fontId="16" fillId="0" borderId="10" xfId="0" applyNumberFormat="1" applyFont="1" applyFill="1" applyBorder="1" applyAlignment="1">
      <alignment horizontal="center" vertical="center" shrinkToFit="1"/>
    </xf>
    <xf numFmtId="166" fontId="16" fillId="0" borderId="29" xfId="0" applyNumberFormat="1" applyFont="1" applyFill="1" applyBorder="1" applyAlignment="1">
      <alignment horizontal="center" vertical="center" shrinkToFit="1"/>
    </xf>
    <xf numFmtId="0" fontId="20" fillId="2" borderId="3" xfId="0" applyFont="1" applyFill="1" applyBorder="1" applyAlignment="1" applyProtection="1">
      <alignment horizontal="center" vertical="center" wrapText="1"/>
    </xf>
    <xf numFmtId="0" fontId="20" fillId="2" borderId="8" xfId="0" applyFont="1" applyFill="1" applyBorder="1" applyAlignment="1" applyProtection="1">
      <alignment horizontal="center" vertical="center" wrapText="1"/>
    </xf>
    <xf numFmtId="0" fontId="11" fillId="2" borderId="2" xfId="0" applyFont="1" applyFill="1" applyBorder="1" applyAlignment="1" applyProtection="1">
      <alignment horizontal="center" vertical="center" textRotation="90" wrapText="1"/>
    </xf>
    <xf numFmtId="0" fontId="11" fillId="2" borderId="7" xfId="0" applyFont="1" applyFill="1" applyBorder="1" applyAlignment="1" applyProtection="1">
      <alignment horizontal="center" textRotation="90"/>
    </xf>
    <xf numFmtId="0" fontId="11" fillId="2" borderId="3" xfId="0" applyFont="1" applyFill="1" applyBorder="1" applyAlignment="1" applyProtection="1">
      <alignment horizontal="center" vertical="center" wrapText="1"/>
    </xf>
    <xf numFmtId="0" fontId="11" fillId="2" borderId="8" xfId="0" applyFont="1" applyFill="1" applyBorder="1" applyAlignment="1" applyProtection="1">
      <alignment horizontal="center" vertical="center" wrapText="1"/>
    </xf>
    <xf numFmtId="0" fontId="20" fillId="2" borderId="1" xfId="0" applyFont="1" applyFill="1" applyBorder="1" applyAlignment="1" applyProtection="1">
      <alignment horizontal="center" vertical="center" wrapText="1"/>
    </xf>
    <xf numFmtId="0" fontId="20" fillId="2" borderId="6" xfId="0" applyFont="1" applyFill="1" applyBorder="1" applyAlignment="1" applyProtection="1">
      <alignment horizontal="center" vertical="center" wrapText="1"/>
    </xf>
    <xf numFmtId="0" fontId="20" fillId="2" borderId="2" xfId="0" applyFont="1" applyFill="1" applyBorder="1" applyAlignment="1" applyProtection="1">
      <alignment horizontal="center" vertical="center" wrapText="1"/>
    </xf>
    <xf numFmtId="0" fontId="20" fillId="2" borderId="7" xfId="0" applyFont="1" applyFill="1" applyBorder="1" applyAlignment="1" applyProtection="1">
      <alignment vertical="center" wrapText="1"/>
    </xf>
    <xf numFmtId="0" fontId="20" fillId="2" borderId="3" xfId="0" applyFont="1" applyFill="1" applyBorder="1" applyAlignment="1" applyProtection="1">
      <alignment horizontal="center" vertical="center" textRotation="90" wrapText="1"/>
    </xf>
    <xf numFmtId="0" fontId="20" fillId="2" borderId="8" xfId="0" applyFont="1" applyFill="1" applyBorder="1" applyAlignment="1" applyProtection="1">
      <alignment horizontal="center" vertical="center" textRotation="90" wrapText="1"/>
    </xf>
    <xf numFmtId="0" fontId="11" fillId="2" borderId="1" xfId="0" applyFont="1" applyFill="1" applyBorder="1" applyAlignment="1" applyProtection="1">
      <alignment horizontal="center" vertical="center" textRotation="90" wrapText="1"/>
    </xf>
    <xf numFmtId="0" fontId="11" fillId="2" borderId="6" xfId="0" applyFont="1" applyFill="1" applyBorder="1" applyAlignment="1" applyProtection="1">
      <alignment horizontal="center" textRotation="90" wrapText="1"/>
    </xf>
    <xf numFmtId="0" fontId="19" fillId="2" borderId="23" xfId="0" applyFont="1" applyFill="1" applyBorder="1" applyAlignment="1" applyProtection="1">
      <alignment horizontal="center" vertical="center" wrapText="1"/>
    </xf>
    <xf numFmtId="0" fontId="19" fillId="2" borderId="24" xfId="0" applyFont="1" applyFill="1" applyBorder="1" applyAlignment="1" applyProtection="1">
      <alignment horizontal="center" vertical="center" wrapText="1"/>
    </xf>
    <xf numFmtId="165" fontId="18" fillId="0" borderId="22" xfId="0" applyNumberFormat="1" applyFont="1" applyFill="1" applyBorder="1" applyAlignment="1">
      <alignment horizontal="center"/>
    </xf>
    <xf numFmtId="0" fontId="18" fillId="0" borderId="22" xfId="0" applyFont="1" applyFill="1" applyBorder="1" applyAlignment="1">
      <alignment horizontal="center"/>
    </xf>
    <xf numFmtId="0" fontId="20" fillId="2" borderId="22" xfId="0" applyFont="1" applyFill="1" applyBorder="1" applyAlignment="1">
      <alignment horizontal="center" vertical="center" wrapText="1"/>
    </xf>
    <xf numFmtId="0" fontId="11" fillId="4" borderId="1" xfId="0" applyFont="1" applyFill="1" applyBorder="1" applyAlignment="1" applyProtection="1">
      <alignment horizontal="center" vertical="center" wrapText="1"/>
    </xf>
    <xf numFmtId="0" fontId="11" fillId="4" borderId="6" xfId="0" applyFont="1" applyFill="1" applyBorder="1" applyAlignment="1" applyProtection="1">
      <alignment horizontal="center"/>
    </xf>
    <xf numFmtId="0" fontId="11" fillId="8" borderId="2" xfId="0" applyFont="1" applyFill="1" applyBorder="1" applyAlignment="1" applyProtection="1">
      <alignment horizontal="center" vertical="center" wrapText="1"/>
    </xf>
    <xf numFmtId="0" fontId="11" fillId="8" borderId="7" xfId="0" applyFont="1" applyFill="1" applyBorder="1" applyAlignment="1" applyProtection="1">
      <alignment horizontal="center"/>
    </xf>
    <xf numFmtId="0" fontId="11" fillId="5" borderId="26" xfId="0" applyFont="1" applyFill="1" applyBorder="1" applyAlignment="1" applyProtection="1">
      <alignment horizontal="center" vertical="center" wrapText="1"/>
    </xf>
    <xf numFmtId="0" fontId="11" fillId="5" borderId="10" xfId="0" applyFont="1" applyFill="1" applyBorder="1" applyAlignment="1" applyProtection="1">
      <alignment horizontal="center"/>
    </xf>
    <xf numFmtId="0" fontId="20" fillId="2" borderId="22" xfId="0" applyFont="1" applyFill="1" applyBorder="1" applyAlignment="1">
      <alignment vertical="center" wrapText="1"/>
    </xf>
    <xf numFmtId="0" fontId="38" fillId="7" borderId="3" xfId="0" applyFont="1" applyFill="1" applyBorder="1" applyAlignment="1">
      <alignment horizontal="center" vertical="center" wrapText="1"/>
    </xf>
    <xf numFmtId="0" fontId="38" fillId="7" borderId="8" xfId="0" applyFont="1" applyFill="1" applyBorder="1" applyAlignment="1">
      <alignment horizontal="center" vertical="center" wrapText="1"/>
    </xf>
    <xf numFmtId="0" fontId="19" fillId="2" borderId="3" xfId="0" applyFont="1" applyFill="1" applyBorder="1" applyAlignment="1">
      <alignment horizontal="center" vertical="center" wrapText="1"/>
    </xf>
    <xf numFmtId="0" fontId="19" fillId="2" borderId="8" xfId="0" applyFont="1" applyFill="1" applyBorder="1" applyAlignment="1">
      <alignment horizontal="center" vertical="center" wrapText="1"/>
    </xf>
  </cellXfs>
  <cellStyles count="1">
    <cellStyle name="Normal" xfId="0" builtinId="0"/>
  </cellStyles>
  <dxfs count="60">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0" tint="-0.14996795556505021"/>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mruColors>
      <color rgb="FF00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1"/>
  <sheetViews>
    <sheetView workbookViewId="0"/>
  </sheetViews>
  <sheetFormatPr defaultRowHeight="14.4" x14ac:dyDescent="0.3"/>
  <cols>
    <col min="1" max="1" width="78.77734375" customWidth="1"/>
    <col min="2" max="2" width="9.6640625" customWidth="1"/>
    <col min="3" max="3" width="95.5546875" customWidth="1"/>
    <col min="4" max="4" width="22.5546875" customWidth="1"/>
  </cols>
  <sheetData>
    <row r="1" spans="1:3" ht="338.4" customHeight="1" x14ac:dyDescent="0.3">
      <c r="A1" s="82" t="s">
        <v>53</v>
      </c>
      <c r="B1" s="81"/>
      <c r="C1" s="83" t="s">
        <v>49</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DV35"/>
  <sheetViews>
    <sheetView tabSelected="1" topLeftCell="A8" zoomScale="90" zoomScaleNormal="90" workbookViewId="0">
      <selection activeCell="C16" sqref="C16"/>
    </sheetView>
  </sheetViews>
  <sheetFormatPr defaultRowHeight="14.4" x14ac:dyDescent="0.3"/>
  <cols>
    <col min="1" max="1" width="4.21875" customWidth="1"/>
    <col min="2" max="2" width="18.33203125" customWidth="1"/>
    <col min="3" max="3" width="14.109375" customWidth="1"/>
    <col min="4" max="4" width="6.44140625" customWidth="1"/>
    <col min="5" max="5" width="5.33203125" customWidth="1"/>
    <col min="6" max="6" width="5.21875" customWidth="1"/>
    <col min="7" max="7" width="5.33203125" customWidth="1"/>
    <col min="8" max="8" width="5.44140625" customWidth="1"/>
    <col min="9" max="9" width="5.33203125" customWidth="1"/>
    <col min="10" max="13" width="5" customWidth="1"/>
    <col min="14" max="14" width="5.33203125" customWidth="1"/>
    <col min="15" max="15" width="5.109375" customWidth="1"/>
    <col min="16" max="16" width="4.77734375" customWidth="1"/>
    <col min="17" max="17" width="5" customWidth="1"/>
    <col min="18" max="18" width="4.88671875" customWidth="1"/>
    <col min="19" max="19" width="5" customWidth="1"/>
    <col min="20" max="20" width="4.77734375" customWidth="1"/>
    <col min="21" max="22" width="5" customWidth="1"/>
    <col min="23" max="23" width="5.44140625" customWidth="1"/>
    <col min="24" max="24" width="5" customWidth="1"/>
    <col min="25" max="25" width="4.88671875" customWidth="1"/>
    <col min="26" max="26" width="4.77734375" customWidth="1"/>
    <col min="27" max="27" width="4.88671875" customWidth="1"/>
    <col min="28" max="28" width="4.6640625" customWidth="1"/>
    <col min="29" max="29" width="4.88671875" customWidth="1"/>
    <col min="30" max="30" width="4.77734375" customWidth="1"/>
    <col min="31" max="31" width="4.88671875" customWidth="1"/>
    <col min="32" max="32" width="4.77734375" customWidth="1"/>
    <col min="33" max="35" width="4.77734375" style="50" customWidth="1"/>
    <col min="36" max="36" width="7" customWidth="1"/>
    <col min="37" max="37" width="7.109375" customWidth="1"/>
    <col min="38" max="38" width="6" customWidth="1"/>
    <col min="39" max="39" width="5.88671875" customWidth="1"/>
    <col min="40" max="40" width="6.21875" customWidth="1"/>
    <col min="42" max="42" width="7.6640625" style="15" customWidth="1"/>
    <col min="43" max="43" width="7.77734375" style="15" customWidth="1"/>
    <col min="44" max="44" width="7.21875" style="17" customWidth="1"/>
    <col min="45" max="45" width="8.77734375" style="17" customWidth="1"/>
    <col min="46" max="46" width="8.88671875" style="114"/>
    <col min="47" max="47" width="8.88671875" style="26"/>
    <col min="48" max="48" width="10.88671875" style="26" customWidth="1"/>
    <col min="49" max="49" width="8.88671875" style="26"/>
    <col min="50" max="52" width="8.88671875" style="114"/>
    <col min="53" max="53" width="4.33203125" customWidth="1"/>
    <col min="54" max="54" width="18.33203125" customWidth="1"/>
    <col min="55" max="55" width="14.109375" customWidth="1"/>
    <col min="56" max="56" width="6.5546875" customWidth="1"/>
    <col min="57" max="57" width="5.6640625" customWidth="1"/>
    <col min="58" max="58" width="6.6640625" customWidth="1"/>
    <col min="59" max="59" width="6.33203125" customWidth="1"/>
    <col min="60" max="60" width="5.5546875" customWidth="1"/>
    <col min="61" max="61" width="6.33203125" customWidth="1"/>
    <col min="62" max="62" width="5.5546875" customWidth="1"/>
    <col min="63" max="63" width="5.77734375" customWidth="1"/>
    <col min="64" max="64" width="5.44140625" customWidth="1"/>
    <col min="65" max="67" width="5.6640625" customWidth="1"/>
    <col min="68" max="68" width="5.44140625" customWidth="1"/>
    <col min="69" max="70" width="5.77734375" customWidth="1"/>
    <col min="71" max="71" width="5.6640625" customWidth="1"/>
    <col min="72" max="72" width="5.5546875" customWidth="1"/>
    <col min="73" max="74" width="5.6640625" customWidth="1"/>
    <col min="75" max="75" width="5.88671875" customWidth="1"/>
    <col min="76" max="76" width="5.5546875" customWidth="1"/>
    <col min="77" max="77" width="5.6640625" customWidth="1"/>
    <col min="78" max="78" width="5.5546875" customWidth="1"/>
    <col min="79" max="79" width="5.77734375" customWidth="1"/>
    <col min="80" max="80" width="5.5546875" customWidth="1"/>
    <col min="81" max="81" width="5.77734375" customWidth="1"/>
    <col min="82" max="82" width="5.44140625" customWidth="1"/>
    <col min="83" max="83" width="5.77734375" customWidth="1"/>
    <col min="84" max="84" width="5.5546875" customWidth="1"/>
    <col min="85" max="85" width="5.6640625" customWidth="1"/>
    <col min="91" max="91" width="4.44140625" customWidth="1"/>
    <col min="92" max="92" width="18.88671875" customWidth="1"/>
    <col min="93" max="93" width="14.109375" customWidth="1"/>
    <col min="94" max="94" width="6" customWidth="1"/>
    <col min="95" max="95" width="5.88671875" customWidth="1"/>
    <col min="96" max="96" width="6.33203125" customWidth="1"/>
    <col min="97" max="97" width="6" customWidth="1"/>
    <col min="98" max="98" width="6.109375" customWidth="1"/>
    <col min="99" max="99" width="5.6640625" customWidth="1"/>
    <col min="100" max="100" width="6" customWidth="1"/>
    <col min="101" max="101" width="5.6640625" customWidth="1"/>
    <col min="102" max="103" width="5.77734375" customWidth="1"/>
    <col min="104" max="106" width="6" customWidth="1"/>
    <col min="107" max="109" width="5.77734375" customWidth="1"/>
    <col min="110" max="110" width="6.109375" customWidth="1"/>
    <col min="111" max="111" width="6" customWidth="1"/>
    <col min="112" max="114" width="5.77734375" customWidth="1"/>
    <col min="115" max="115" width="6" customWidth="1"/>
    <col min="116" max="116" width="5.77734375" customWidth="1"/>
    <col min="117" max="117" width="6" customWidth="1"/>
    <col min="118" max="119" width="5.88671875" customWidth="1"/>
    <col min="120" max="120" width="6" customWidth="1"/>
    <col min="121" max="121" width="5.77734375" customWidth="1"/>
    <col min="122" max="122" width="5.88671875" customWidth="1"/>
    <col min="123" max="123" width="5.77734375" customWidth="1"/>
    <col min="124" max="124" width="5.77734375" style="31" customWidth="1"/>
    <col min="125" max="125" width="5.88671875" style="31" customWidth="1"/>
    <col min="126" max="126" width="8.88671875" style="31"/>
  </cols>
  <sheetData>
    <row r="1" spans="1:126" ht="21" customHeight="1" x14ac:dyDescent="0.3">
      <c r="A1" s="80"/>
      <c r="B1" s="40" t="s">
        <v>42</v>
      </c>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42"/>
      <c r="AH1" s="42"/>
      <c r="AI1" s="42"/>
      <c r="AJ1" s="1"/>
      <c r="AK1" s="1"/>
      <c r="AL1" s="1"/>
      <c r="AM1" s="1"/>
      <c r="AN1" s="1"/>
      <c r="AP1" s="1"/>
      <c r="AQ1" s="1"/>
      <c r="AR1" s="16"/>
      <c r="AS1" s="21"/>
      <c r="AU1" s="27"/>
      <c r="AV1" s="28" t="s">
        <v>13</v>
      </c>
      <c r="AW1" s="29">
        <v>0.25</v>
      </c>
      <c r="AX1" s="115"/>
      <c r="BA1" s="79"/>
      <c r="BB1" s="40" t="s">
        <v>42</v>
      </c>
      <c r="CM1" s="79"/>
      <c r="CN1" s="40" t="s">
        <v>42</v>
      </c>
    </row>
    <row r="2" spans="1:126" ht="17.399999999999999" x14ac:dyDescent="0.3">
      <c r="A2" s="5"/>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43"/>
      <c r="AH2" s="43"/>
      <c r="AI2" s="43"/>
      <c r="AJ2" s="5"/>
      <c r="AK2" s="5"/>
      <c r="AL2" s="5"/>
      <c r="AM2" s="5"/>
      <c r="AN2" s="5"/>
      <c r="AP2" s="5"/>
      <c r="AQ2" s="5"/>
      <c r="AR2" s="16"/>
      <c r="AS2" s="21"/>
      <c r="AU2" s="27"/>
      <c r="AV2" s="28" t="s">
        <v>11</v>
      </c>
      <c r="AW2" s="29">
        <v>0.5</v>
      </c>
      <c r="AX2" s="115"/>
      <c r="CN2" s="31"/>
    </row>
    <row r="3" spans="1:126" ht="22.8" x14ac:dyDescent="0.3">
      <c r="A3" s="25"/>
      <c r="B3" s="39" t="s">
        <v>43</v>
      </c>
      <c r="C3" s="6"/>
      <c r="D3" s="6"/>
      <c r="E3" s="6"/>
      <c r="F3" s="6"/>
      <c r="G3" s="6"/>
      <c r="H3" s="6"/>
      <c r="I3" s="6"/>
      <c r="J3" s="6"/>
      <c r="K3" s="6"/>
      <c r="L3" s="6"/>
      <c r="M3" s="6"/>
      <c r="N3" s="6"/>
      <c r="O3" s="6"/>
      <c r="P3" s="6"/>
      <c r="Q3" s="6"/>
      <c r="R3" s="6"/>
      <c r="S3" s="7"/>
      <c r="T3" s="6"/>
      <c r="U3" s="6"/>
      <c r="V3" s="6"/>
      <c r="W3" s="6"/>
      <c r="X3" s="6"/>
      <c r="Y3" s="6"/>
      <c r="Z3" s="6"/>
      <c r="AA3" s="6"/>
      <c r="AB3" s="6"/>
      <c r="AC3" s="6"/>
      <c r="AD3" s="6"/>
      <c r="AE3" s="6"/>
      <c r="AF3" s="6"/>
      <c r="AG3" s="44"/>
      <c r="AH3" s="44"/>
      <c r="AI3" s="44"/>
      <c r="AJ3" s="6"/>
      <c r="AK3" s="6"/>
      <c r="AL3" s="6"/>
      <c r="AM3" s="6"/>
      <c r="AN3" s="6"/>
      <c r="AP3" s="6"/>
      <c r="AQ3" s="6"/>
      <c r="AR3" s="16"/>
      <c r="AS3" s="21"/>
      <c r="AU3" s="27"/>
      <c r="AV3" s="28" t="s">
        <v>14</v>
      </c>
      <c r="AW3" s="29">
        <v>0.75</v>
      </c>
      <c r="AX3" s="115"/>
      <c r="BB3" s="39" t="s">
        <v>43</v>
      </c>
      <c r="CN3" s="39" t="s">
        <v>43</v>
      </c>
    </row>
    <row r="4" spans="1:126" ht="22.8" x14ac:dyDescent="0.4">
      <c r="A4" s="2"/>
      <c r="B4" s="2"/>
      <c r="C4" s="2"/>
      <c r="D4" s="2"/>
      <c r="E4" s="2"/>
      <c r="F4" s="2"/>
      <c r="G4" s="2"/>
      <c r="H4" s="2"/>
      <c r="I4" s="2"/>
      <c r="J4" s="2"/>
      <c r="K4" s="2"/>
      <c r="L4" s="2"/>
      <c r="M4" s="2"/>
      <c r="N4" s="2"/>
      <c r="O4" s="2"/>
      <c r="P4" s="2"/>
      <c r="Q4" s="2"/>
      <c r="R4" s="2"/>
      <c r="S4" s="7" t="s">
        <v>0</v>
      </c>
      <c r="T4" s="2"/>
      <c r="U4" s="2"/>
      <c r="V4" s="2"/>
      <c r="W4" s="2"/>
      <c r="X4" s="2"/>
      <c r="Y4" s="2"/>
      <c r="Z4" s="2"/>
      <c r="AA4" s="2"/>
      <c r="AB4" s="2"/>
      <c r="AC4" s="2"/>
      <c r="AD4" s="2"/>
      <c r="AE4" s="2"/>
      <c r="AF4" s="2"/>
      <c r="AG4" s="45"/>
      <c r="AH4" s="45"/>
      <c r="AI4" s="45"/>
      <c r="AJ4" s="2"/>
      <c r="AK4" s="2"/>
      <c r="AL4" s="2"/>
      <c r="AM4" s="2"/>
      <c r="AN4" s="2"/>
      <c r="AP4" s="2"/>
      <c r="AQ4" s="2"/>
      <c r="AR4" s="16"/>
      <c r="AS4" s="21"/>
      <c r="AU4" s="27"/>
      <c r="AV4" s="28" t="s">
        <v>15</v>
      </c>
      <c r="AW4" s="29">
        <v>1</v>
      </c>
      <c r="AX4" s="115"/>
      <c r="BN4" s="24"/>
      <c r="BO4" s="23"/>
    </row>
    <row r="5" spans="1:126" ht="22.8" x14ac:dyDescent="0.3">
      <c r="A5" s="7"/>
      <c r="B5" s="8"/>
      <c r="C5" s="8"/>
      <c r="D5" s="8"/>
      <c r="E5" s="8"/>
      <c r="F5" s="8"/>
      <c r="G5" s="8"/>
      <c r="H5" s="8"/>
      <c r="I5" s="8"/>
      <c r="J5" s="8"/>
      <c r="K5" s="8"/>
      <c r="L5" s="8"/>
      <c r="M5" s="8"/>
      <c r="N5" s="8"/>
      <c r="O5" s="8"/>
      <c r="P5" s="8"/>
      <c r="Q5" s="8"/>
      <c r="R5" s="8"/>
      <c r="S5" s="10" t="s">
        <v>1</v>
      </c>
      <c r="T5" s="8"/>
      <c r="U5" s="8"/>
      <c r="V5" s="8"/>
      <c r="W5" s="8"/>
      <c r="X5" s="8"/>
      <c r="Y5" s="8"/>
      <c r="Z5" s="8"/>
      <c r="AA5" s="8"/>
      <c r="AB5" s="8"/>
      <c r="AC5" s="8"/>
      <c r="AD5" s="8"/>
      <c r="AE5" s="8"/>
      <c r="AF5" s="8"/>
      <c r="AG5" s="46"/>
      <c r="AH5" s="46"/>
      <c r="AI5" s="46"/>
      <c r="AJ5" s="8"/>
      <c r="AK5" s="8"/>
      <c r="AL5" s="8"/>
      <c r="AM5" s="8"/>
      <c r="AN5" s="8"/>
      <c r="AP5" s="8"/>
      <c r="AQ5" s="8"/>
      <c r="AR5" s="16"/>
      <c r="AS5" s="21"/>
      <c r="AU5" s="27"/>
      <c r="AV5" s="28" t="s">
        <v>16</v>
      </c>
      <c r="AW5" s="27"/>
      <c r="AX5" s="115"/>
      <c r="BN5" s="24" t="s">
        <v>45</v>
      </c>
      <c r="CA5" s="9"/>
      <c r="CB5" s="9"/>
      <c r="CC5" s="9"/>
      <c r="CD5" s="9"/>
      <c r="CX5" s="32"/>
      <c r="CZ5" s="24" t="s">
        <v>44</v>
      </c>
    </row>
    <row r="6" spans="1:126" ht="20.399999999999999" customHeight="1" x14ac:dyDescent="0.3">
      <c r="A6" s="6"/>
      <c r="B6" s="6"/>
      <c r="C6" s="6"/>
      <c r="D6" s="6"/>
      <c r="E6" s="6"/>
      <c r="F6" s="6"/>
      <c r="G6" s="6"/>
      <c r="H6" s="6"/>
      <c r="I6" s="6"/>
      <c r="J6" s="6"/>
      <c r="K6" s="21"/>
      <c r="L6" s="6"/>
      <c r="M6" s="6"/>
      <c r="N6" s="6"/>
      <c r="O6" s="6"/>
      <c r="P6" s="21"/>
      <c r="Q6" s="6"/>
      <c r="R6" s="6"/>
      <c r="S6" s="38" t="s">
        <v>10</v>
      </c>
      <c r="T6" s="6"/>
      <c r="U6" s="6"/>
      <c r="V6" s="6"/>
      <c r="W6" s="6"/>
      <c r="X6" s="6"/>
      <c r="Y6" s="6"/>
      <c r="Z6" s="6"/>
      <c r="AA6" s="6"/>
      <c r="AB6" s="21"/>
      <c r="AC6" s="6"/>
      <c r="AD6" s="6"/>
      <c r="AE6" s="6"/>
      <c r="AF6" s="6"/>
      <c r="AG6" s="44"/>
      <c r="AH6" s="44"/>
      <c r="AI6" s="44"/>
      <c r="AJ6" s="6"/>
      <c r="AK6" s="6"/>
      <c r="AL6" s="6"/>
      <c r="AM6" s="6"/>
      <c r="AN6" s="6"/>
      <c r="AO6" s="21"/>
      <c r="AP6" s="6"/>
      <c r="AQ6" s="6"/>
      <c r="AR6" s="16"/>
      <c r="AS6" s="21"/>
      <c r="AU6" s="27"/>
      <c r="AV6" s="28" t="s">
        <v>17</v>
      </c>
      <c r="AW6" s="27"/>
      <c r="AX6" s="115"/>
      <c r="BN6" s="38" t="s">
        <v>10</v>
      </c>
      <c r="CA6" s="9"/>
      <c r="CB6" s="22"/>
      <c r="CC6" s="9"/>
      <c r="CD6" s="9"/>
      <c r="CX6" s="32"/>
      <c r="CZ6" s="38" t="s">
        <v>10</v>
      </c>
    </row>
    <row r="7" spans="1:126" ht="20.399999999999999" customHeight="1" x14ac:dyDescent="0.3">
      <c r="A7" s="2"/>
      <c r="B7" s="2"/>
      <c r="C7" s="2"/>
      <c r="D7" s="2"/>
      <c r="E7" s="2"/>
      <c r="F7" s="2"/>
      <c r="G7" s="2"/>
      <c r="H7" s="2"/>
      <c r="I7" s="2"/>
      <c r="J7" s="2"/>
      <c r="K7" s="21"/>
      <c r="L7" s="2"/>
      <c r="M7" s="2"/>
      <c r="N7" s="2"/>
      <c r="O7" s="2"/>
      <c r="P7" s="21"/>
      <c r="Q7" s="2"/>
      <c r="R7" s="2"/>
      <c r="S7" s="2"/>
      <c r="T7" s="2"/>
      <c r="U7" s="2"/>
      <c r="V7" s="2"/>
      <c r="W7" s="2"/>
      <c r="X7" s="2"/>
      <c r="Y7" s="2"/>
      <c r="Z7" s="2"/>
      <c r="AA7" s="2"/>
      <c r="AB7" s="21"/>
      <c r="AC7" s="2"/>
      <c r="AD7" s="2"/>
      <c r="AE7" s="2"/>
      <c r="AF7" s="2"/>
      <c r="AG7" s="45"/>
      <c r="AH7" s="45"/>
      <c r="AI7" s="45"/>
      <c r="AJ7" s="2"/>
      <c r="AK7" s="2"/>
      <c r="AL7" s="2"/>
      <c r="AM7" s="2"/>
      <c r="AN7" s="2"/>
      <c r="AO7" s="21"/>
      <c r="AP7" s="2"/>
      <c r="AQ7" s="2"/>
      <c r="AR7" s="16"/>
      <c r="AS7" s="21"/>
      <c r="AU7" s="27"/>
      <c r="AV7" s="28" t="s">
        <v>18</v>
      </c>
      <c r="AW7" s="27"/>
      <c r="AX7" s="115"/>
      <c r="CA7" s="9"/>
      <c r="CB7" s="9"/>
      <c r="CC7" s="9"/>
      <c r="CD7" s="9"/>
    </row>
    <row r="8" spans="1:126" ht="23.4" thickBot="1" x14ac:dyDescent="0.35">
      <c r="A8" s="8"/>
      <c r="B8" s="8"/>
      <c r="C8" s="8"/>
      <c r="D8" s="8"/>
      <c r="E8" s="8"/>
      <c r="F8" s="8"/>
      <c r="G8" s="8"/>
      <c r="H8" s="8"/>
      <c r="I8" s="8"/>
      <c r="J8" s="8"/>
      <c r="K8" s="21"/>
      <c r="L8" s="8"/>
      <c r="M8" s="8"/>
      <c r="N8" s="8"/>
      <c r="O8" s="8"/>
      <c r="P8" s="21"/>
      <c r="Q8" s="8"/>
      <c r="R8" s="8"/>
      <c r="S8" s="8"/>
      <c r="T8" s="8"/>
      <c r="U8" s="8"/>
      <c r="V8" s="8"/>
      <c r="W8" s="8"/>
      <c r="X8" s="8"/>
      <c r="Y8" s="8"/>
      <c r="Z8" s="8"/>
      <c r="AA8" s="8"/>
      <c r="AB8" s="21"/>
      <c r="AC8" s="8"/>
      <c r="AD8" s="8"/>
      <c r="AE8" s="8"/>
      <c r="AF8" s="8"/>
      <c r="AG8" s="46"/>
      <c r="AH8" s="46"/>
      <c r="AI8" s="46"/>
      <c r="AJ8" s="8"/>
      <c r="AK8" s="8"/>
      <c r="AL8" s="8"/>
      <c r="AM8" s="8"/>
      <c r="AN8" s="8"/>
      <c r="AO8" s="21"/>
      <c r="AP8" s="8"/>
      <c r="AQ8" s="8"/>
      <c r="AR8" s="16"/>
      <c r="AS8" s="21"/>
      <c r="AU8" s="27"/>
      <c r="AV8" s="28" t="s">
        <v>19</v>
      </c>
      <c r="AW8" s="27"/>
      <c r="AX8" s="115"/>
      <c r="CN8" s="9"/>
      <c r="CO8" s="9"/>
      <c r="CP8" s="9"/>
      <c r="CQ8" s="9"/>
      <c r="CR8" s="9"/>
      <c r="CS8" s="9"/>
      <c r="CT8" s="9"/>
      <c r="CU8" s="9"/>
      <c r="CV8" s="9"/>
      <c r="CW8" s="9"/>
      <c r="CX8" s="9"/>
      <c r="CY8" s="9"/>
      <c r="CZ8" s="9"/>
      <c r="DA8" s="9"/>
      <c r="DB8" s="9"/>
      <c r="DC8" s="9"/>
      <c r="DD8" s="9"/>
      <c r="DE8" s="9"/>
      <c r="DF8" s="9"/>
      <c r="DG8" s="9"/>
      <c r="DH8" s="9"/>
      <c r="DI8" s="9"/>
      <c r="DJ8" s="9"/>
      <c r="DK8" s="9"/>
      <c r="DL8" s="9"/>
      <c r="DM8" s="9"/>
      <c r="DN8" s="9"/>
      <c r="DO8" s="9"/>
      <c r="DP8" s="9"/>
      <c r="DQ8" s="9"/>
      <c r="DR8" s="9"/>
      <c r="DS8" s="9"/>
      <c r="DT8" s="9"/>
      <c r="DU8" s="9"/>
    </row>
    <row r="9" spans="1:126" ht="17.399999999999999" customHeight="1" thickBot="1" x14ac:dyDescent="0.35">
      <c r="A9" s="135" t="s">
        <v>2</v>
      </c>
      <c r="B9" s="137" t="s">
        <v>29</v>
      </c>
      <c r="C9" s="129" t="s">
        <v>3</v>
      </c>
      <c r="D9" s="139" t="s">
        <v>9</v>
      </c>
      <c r="E9" s="52" t="s">
        <v>4</v>
      </c>
      <c r="F9" s="47"/>
      <c r="G9" s="47"/>
      <c r="H9" s="47"/>
      <c r="I9" s="47"/>
      <c r="J9" s="47"/>
      <c r="K9" s="47"/>
      <c r="L9" s="47"/>
      <c r="M9" s="47"/>
      <c r="N9" s="47"/>
      <c r="O9" s="47"/>
      <c r="P9" s="47"/>
      <c r="Q9" s="47"/>
      <c r="R9" s="47"/>
      <c r="S9" s="47"/>
      <c r="T9" s="47"/>
      <c r="U9" s="47"/>
      <c r="V9" s="47"/>
      <c r="W9" s="47"/>
      <c r="X9" s="47"/>
      <c r="Y9" s="47"/>
      <c r="Z9" s="47"/>
      <c r="AA9" s="47"/>
      <c r="AB9" s="47"/>
      <c r="AC9" s="47"/>
      <c r="AD9" s="47"/>
      <c r="AE9" s="47"/>
      <c r="AF9" s="47"/>
      <c r="AG9" s="47"/>
      <c r="AH9" s="47"/>
      <c r="AI9" s="48"/>
      <c r="AJ9" s="141" t="s">
        <v>5</v>
      </c>
      <c r="AK9" s="143" t="s">
        <v>6</v>
      </c>
      <c r="AL9" s="144"/>
      <c r="AM9" s="33"/>
      <c r="AN9" s="131" t="s">
        <v>7</v>
      </c>
      <c r="AO9" s="133" t="s">
        <v>8</v>
      </c>
      <c r="AP9" s="148" t="s">
        <v>30</v>
      </c>
      <c r="AQ9" s="150" t="s">
        <v>31</v>
      </c>
      <c r="AR9" s="152" t="s">
        <v>40</v>
      </c>
      <c r="AS9" s="155" t="s">
        <v>50</v>
      </c>
      <c r="AU9" s="27"/>
      <c r="AV9" s="28" t="s">
        <v>20</v>
      </c>
      <c r="AW9" s="27"/>
      <c r="AX9" s="115"/>
      <c r="BA9" s="147" t="s">
        <v>2</v>
      </c>
      <c r="BB9" s="147" t="s">
        <v>29</v>
      </c>
      <c r="BC9" s="147" t="s">
        <v>3</v>
      </c>
      <c r="BD9" s="145">
        <f>E10</f>
        <v>45200</v>
      </c>
      <c r="BE9" s="146"/>
      <c r="BF9" s="145">
        <f>F10</f>
        <v>45201</v>
      </c>
      <c r="BG9" s="146"/>
      <c r="BH9" s="145">
        <f>G10</f>
        <v>45202</v>
      </c>
      <c r="BI9" s="146"/>
      <c r="BJ9" s="145">
        <f>H10</f>
        <v>45203</v>
      </c>
      <c r="BK9" s="146"/>
      <c r="BL9" s="145">
        <f>I10</f>
        <v>45204</v>
      </c>
      <c r="BM9" s="146"/>
      <c r="BN9" s="145">
        <f>J10</f>
        <v>45205</v>
      </c>
      <c r="BO9" s="146"/>
      <c r="BP9" s="145">
        <f>K10</f>
        <v>45206</v>
      </c>
      <c r="BQ9" s="146"/>
      <c r="BR9" s="145">
        <f>L10</f>
        <v>45207</v>
      </c>
      <c r="BS9" s="146"/>
      <c r="BT9" s="145">
        <f>M10</f>
        <v>45208</v>
      </c>
      <c r="BU9" s="146"/>
      <c r="BV9" s="145">
        <f>N10</f>
        <v>45209</v>
      </c>
      <c r="BW9" s="146"/>
      <c r="BX9" s="145">
        <f>O10</f>
        <v>45210</v>
      </c>
      <c r="BY9" s="146"/>
      <c r="BZ9" s="145">
        <f>P10</f>
        <v>45211</v>
      </c>
      <c r="CA9" s="146"/>
      <c r="CB9" s="145">
        <f>Q10</f>
        <v>45212</v>
      </c>
      <c r="CC9" s="146"/>
      <c r="CD9" s="145">
        <f>R10</f>
        <v>45213</v>
      </c>
      <c r="CE9" s="146"/>
      <c r="CF9" s="145">
        <f>S10</f>
        <v>45214</v>
      </c>
      <c r="CG9" s="146"/>
      <c r="CM9" s="147" t="s">
        <v>2</v>
      </c>
      <c r="CN9" s="147" t="s">
        <v>29</v>
      </c>
      <c r="CO9" s="147" t="s">
        <v>3</v>
      </c>
      <c r="CP9" s="145">
        <f>T10</f>
        <v>45215</v>
      </c>
      <c r="CQ9" s="146"/>
      <c r="CR9" s="145">
        <f>U10</f>
        <v>45216</v>
      </c>
      <c r="CS9" s="146"/>
      <c r="CT9" s="145">
        <f>V10</f>
        <v>45217</v>
      </c>
      <c r="CU9" s="146"/>
      <c r="CV9" s="145">
        <f>W10</f>
        <v>45218</v>
      </c>
      <c r="CW9" s="146"/>
      <c r="CX9" s="145">
        <f>X10</f>
        <v>45219</v>
      </c>
      <c r="CY9" s="146"/>
      <c r="CZ9" s="145">
        <f>Y10</f>
        <v>45220</v>
      </c>
      <c r="DA9" s="146"/>
      <c r="DB9" s="145">
        <f>Z10</f>
        <v>45221</v>
      </c>
      <c r="DC9" s="146"/>
      <c r="DD9" s="145">
        <f>AA10</f>
        <v>45222</v>
      </c>
      <c r="DE9" s="146"/>
      <c r="DF9" s="145">
        <f>AB10</f>
        <v>45223</v>
      </c>
      <c r="DG9" s="146"/>
      <c r="DH9" s="145">
        <f>AC10</f>
        <v>45224</v>
      </c>
      <c r="DI9" s="146"/>
      <c r="DJ9" s="145">
        <f>AD10</f>
        <v>45225</v>
      </c>
      <c r="DK9" s="146"/>
      <c r="DL9" s="145">
        <f>AE10</f>
        <v>45226</v>
      </c>
      <c r="DM9" s="146"/>
      <c r="DN9" s="145">
        <f>AF10</f>
        <v>45227</v>
      </c>
      <c r="DO9" s="146"/>
      <c r="DP9" s="145">
        <f>AG10</f>
        <v>45228</v>
      </c>
      <c r="DQ9" s="146"/>
      <c r="DR9" s="145">
        <f>AH10</f>
        <v>45229</v>
      </c>
      <c r="DS9" s="146"/>
      <c r="DT9" s="145">
        <f>AI10</f>
        <v>45230</v>
      </c>
      <c r="DU9" s="146"/>
      <c r="DV9" s="157" t="s">
        <v>48</v>
      </c>
    </row>
    <row r="10" spans="1:126" ht="43.2" customHeight="1" thickBot="1" x14ac:dyDescent="0.35">
      <c r="A10" s="136"/>
      <c r="B10" s="138"/>
      <c r="C10" s="130"/>
      <c r="D10" s="140"/>
      <c r="E10" s="36">
        <v>45200</v>
      </c>
      <c r="F10" s="20">
        <f t="shared" ref="F10:AH10" si="0">E10+1</f>
        <v>45201</v>
      </c>
      <c r="G10" s="20">
        <f t="shared" si="0"/>
        <v>45202</v>
      </c>
      <c r="H10" s="20">
        <f t="shared" si="0"/>
        <v>45203</v>
      </c>
      <c r="I10" s="20">
        <f t="shared" si="0"/>
        <v>45204</v>
      </c>
      <c r="J10" s="20">
        <f t="shared" si="0"/>
        <v>45205</v>
      </c>
      <c r="K10" s="20">
        <f t="shared" si="0"/>
        <v>45206</v>
      </c>
      <c r="L10" s="20">
        <f t="shared" si="0"/>
        <v>45207</v>
      </c>
      <c r="M10" s="20">
        <f t="shared" si="0"/>
        <v>45208</v>
      </c>
      <c r="N10" s="20">
        <f t="shared" si="0"/>
        <v>45209</v>
      </c>
      <c r="O10" s="20">
        <f t="shared" si="0"/>
        <v>45210</v>
      </c>
      <c r="P10" s="20">
        <f t="shared" si="0"/>
        <v>45211</v>
      </c>
      <c r="Q10" s="20">
        <f t="shared" si="0"/>
        <v>45212</v>
      </c>
      <c r="R10" s="20">
        <f t="shared" si="0"/>
        <v>45213</v>
      </c>
      <c r="S10" s="20">
        <f t="shared" si="0"/>
        <v>45214</v>
      </c>
      <c r="T10" s="20">
        <f t="shared" si="0"/>
        <v>45215</v>
      </c>
      <c r="U10" s="20">
        <f t="shared" si="0"/>
        <v>45216</v>
      </c>
      <c r="V10" s="20">
        <f t="shared" si="0"/>
        <v>45217</v>
      </c>
      <c r="W10" s="20">
        <f t="shared" si="0"/>
        <v>45218</v>
      </c>
      <c r="X10" s="20">
        <f t="shared" si="0"/>
        <v>45219</v>
      </c>
      <c r="Y10" s="20">
        <f t="shared" si="0"/>
        <v>45220</v>
      </c>
      <c r="Z10" s="20">
        <f t="shared" si="0"/>
        <v>45221</v>
      </c>
      <c r="AA10" s="20">
        <f t="shared" si="0"/>
        <v>45222</v>
      </c>
      <c r="AB10" s="20">
        <f t="shared" si="0"/>
        <v>45223</v>
      </c>
      <c r="AC10" s="20">
        <f t="shared" si="0"/>
        <v>45224</v>
      </c>
      <c r="AD10" s="20">
        <f t="shared" si="0"/>
        <v>45225</v>
      </c>
      <c r="AE10" s="20">
        <f t="shared" si="0"/>
        <v>45226</v>
      </c>
      <c r="AF10" s="20">
        <f t="shared" si="0"/>
        <v>45227</v>
      </c>
      <c r="AG10" s="41">
        <f t="shared" si="0"/>
        <v>45228</v>
      </c>
      <c r="AH10" s="41">
        <f t="shared" si="0"/>
        <v>45229</v>
      </c>
      <c r="AI10" s="41">
        <f>AH10+1</f>
        <v>45230</v>
      </c>
      <c r="AJ10" s="142"/>
      <c r="AK10" s="34" t="s">
        <v>39</v>
      </c>
      <c r="AL10" s="34" t="s">
        <v>38</v>
      </c>
      <c r="AM10" s="35" t="s">
        <v>37</v>
      </c>
      <c r="AN10" s="132"/>
      <c r="AO10" s="134"/>
      <c r="AP10" s="149"/>
      <c r="AQ10" s="151"/>
      <c r="AR10" s="153"/>
      <c r="AS10" s="156"/>
      <c r="AU10" s="27"/>
      <c r="AV10" s="28" t="s">
        <v>21</v>
      </c>
      <c r="AW10" s="27"/>
      <c r="AX10" s="115"/>
      <c r="BA10" s="147"/>
      <c r="BB10" s="154"/>
      <c r="BC10" s="147"/>
      <c r="BD10" s="18" t="s">
        <v>35</v>
      </c>
      <c r="BE10" s="18" t="s">
        <v>36</v>
      </c>
      <c r="BF10" s="18" t="s">
        <v>35</v>
      </c>
      <c r="BG10" s="18" t="s">
        <v>36</v>
      </c>
      <c r="BH10" s="18" t="s">
        <v>35</v>
      </c>
      <c r="BI10" s="18" t="s">
        <v>36</v>
      </c>
      <c r="BJ10" s="19" t="s">
        <v>35</v>
      </c>
      <c r="BK10" s="19" t="s">
        <v>36</v>
      </c>
      <c r="BL10" s="19" t="s">
        <v>35</v>
      </c>
      <c r="BM10" s="19" t="s">
        <v>36</v>
      </c>
      <c r="BN10" s="18" t="s">
        <v>35</v>
      </c>
      <c r="BO10" s="18" t="s">
        <v>36</v>
      </c>
      <c r="BP10" s="18" t="s">
        <v>35</v>
      </c>
      <c r="BQ10" s="18" t="s">
        <v>36</v>
      </c>
      <c r="BR10" s="18" t="s">
        <v>35</v>
      </c>
      <c r="BS10" s="18" t="s">
        <v>36</v>
      </c>
      <c r="BT10" s="18" t="s">
        <v>35</v>
      </c>
      <c r="BU10" s="18" t="s">
        <v>36</v>
      </c>
      <c r="BV10" s="18" t="s">
        <v>35</v>
      </c>
      <c r="BW10" s="18" t="s">
        <v>36</v>
      </c>
      <c r="BX10" s="19" t="s">
        <v>35</v>
      </c>
      <c r="BY10" s="19" t="s">
        <v>36</v>
      </c>
      <c r="BZ10" s="19" t="s">
        <v>35</v>
      </c>
      <c r="CA10" s="19" t="s">
        <v>36</v>
      </c>
      <c r="CB10" s="18" t="s">
        <v>35</v>
      </c>
      <c r="CC10" s="18" t="s">
        <v>36</v>
      </c>
      <c r="CD10" s="18" t="s">
        <v>35</v>
      </c>
      <c r="CE10" s="18" t="s">
        <v>36</v>
      </c>
      <c r="CF10" s="18" t="s">
        <v>35</v>
      </c>
      <c r="CG10" s="18" t="s">
        <v>36</v>
      </c>
      <c r="CM10" s="147"/>
      <c r="CN10" s="154"/>
      <c r="CO10" s="147"/>
      <c r="CP10" s="18" t="s">
        <v>35</v>
      </c>
      <c r="CQ10" s="18" t="s">
        <v>36</v>
      </c>
      <c r="CR10" s="18" t="s">
        <v>35</v>
      </c>
      <c r="CS10" s="18" t="s">
        <v>36</v>
      </c>
      <c r="CT10" s="18" t="s">
        <v>35</v>
      </c>
      <c r="CU10" s="18" t="s">
        <v>36</v>
      </c>
      <c r="CV10" s="19" t="s">
        <v>35</v>
      </c>
      <c r="CW10" s="19" t="s">
        <v>36</v>
      </c>
      <c r="CX10" s="19" t="s">
        <v>35</v>
      </c>
      <c r="CY10" s="19" t="s">
        <v>36</v>
      </c>
      <c r="CZ10" s="18" t="s">
        <v>35</v>
      </c>
      <c r="DA10" s="18" t="s">
        <v>36</v>
      </c>
      <c r="DB10" s="18" t="s">
        <v>35</v>
      </c>
      <c r="DC10" s="18" t="s">
        <v>36</v>
      </c>
      <c r="DD10" s="18" t="s">
        <v>35</v>
      </c>
      <c r="DE10" s="18" t="s">
        <v>36</v>
      </c>
      <c r="DF10" s="18" t="s">
        <v>35</v>
      </c>
      <c r="DG10" s="18" t="s">
        <v>36</v>
      </c>
      <c r="DH10" s="18" t="s">
        <v>35</v>
      </c>
      <c r="DI10" s="18" t="s">
        <v>36</v>
      </c>
      <c r="DJ10" s="19" t="s">
        <v>35</v>
      </c>
      <c r="DK10" s="19" t="s">
        <v>36</v>
      </c>
      <c r="DL10" s="19" t="s">
        <v>35</v>
      </c>
      <c r="DM10" s="19" t="s">
        <v>36</v>
      </c>
      <c r="DN10" s="18" t="s">
        <v>35</v>
      </c>
      <c r="DO10" s="18" t="s">
        <v>36</v>
      </c>
      <c r="DP10" s="18" t="s">
        <v>35</v>
      </c>
      <c r="DQ10" s="18" t="s">
        <v>36</v>
      </c>
      <c r="DR10" s="18" t="s">
        <v>35</v>
      </c>
      <c r="DS10" s="18" t="s">
        <v>36</v>
      </c>
      <c r="DT10" s="18" t="s">
        <v>35</v>
      </c>
      <c r="DU10" s="18" t="s">
        <v>36</v>
      </c>
      <c r="DV10" s="158"/>
    </row>
    <row r="11" spans="1:126" x14ac:dyDescent="0.3">
      <c r="A11" s="11">
        <v>1</v>
      </c>
      <c r="B11" s="53" t="s">
        <v>25</v>
      </c>
      <c r="C11" s="54" t="s">
        <v>11</v>
      </c>
      <c r="D11" s="55">
        <v>1</v>
      </c>
      <c r="E11" s="56"/>
      <c r="F11" s="56">
        <v>7.7</v>
      </c>
      <c r="G11" s="56">
        <v>7.7</v>
      </c>
      <c r="H11" s="56">
        <v>7.7</v>
      </c>
      <c r="I11" s="56">
        <v>7.7</v>
      </c>
      <c r="J11" s="56">
        <v>7.7</v>
      </c>
      <c r="K11" s="56"/>
      <c r="L11" s="57">
        <v>16</v>
      </c>
      <c r="M11" s="58">
        <v>8</v>
      </c>
      <c r="N11" s="56">
        <v>7.7</v>
      </c>
      <c r="O11" s="56">
        <v>7.7</v>
      </c>
      <c r="P11" s="56">
        <v>7.7</v>
      </c>
      <c r="Q11" s="56">
        <v>7.7</v>
      </c>
      <c r="R11" s="56"/>
      <c r="S11" s="56"/>
      <c r="T11" s="56">
        <v>7.7</v>
      </c>
      <c r="U11" s="56">
        <v>7.7</v>
      </c>
      <c r="V11" s="56" t="s">
        <v>41</v>
      </c>
      <c r="W11" s="56">
        <v>7.7</v>
      </c>
      <c r="X11" s="56">
        <v>7.7</v>
      </c>
      <c r="Y11" s="56"/>
      <c r="Z11" s="56"/>
      <c r="AA11" s="56">
        <v>7.7</v>
      </c>
      <c r="AB11" s="56">
        <v>7.7</v>
      </c>
      <c r="AC11" s="56">
        <v>7.7</v>
      </c>
      <c r="AD11" s="56">
        <v>7.7</v>
      </c>
      <c r="AE11" s="56">
        <v>7.7</v>
      </c>
      <c r="AF11" s="56"/>
      <c r="AG11" s="56"/>
      <c r="AH11" s="56">
        <v>7.7</v>
      </c>
      <c r="AI11" s="56">
        <v>7.7</v>
      </c>
      <c r="AJ11" s="73">
        <f t="shared" ref="AJ11:AJ32" si="1">COUNTIFS(E11:AI11,"&gt;0", E11:AI11,"&lt;&gt;"&amp;"")</f>
        <v>22</v>
      </c>
      <c r="AK11" s="74">
        <f t="shared" ref="AK11:AK32" si="2">COUNTIF(E11:AI11, "ВП")</f>
        <v>0</v>
      </c>
      <c r="AL11" s="74">
        <f t="shared" ref="AL11:AL32" si="3">COUNTIF(E11:AI11, "ВД")</f>
        <v>0</v>
      </c>
      <c r="AM11" s="74">
        <f t="shared" ref="AM11:AM32" si="4">SumBoldNumbers(E11:AI11)</f>
        <v>8</v>
      </c>
      <c r="AN11" s="74">
        <f>SUM(CountWeekendDays(E10)+COUNTIF(E11:AI11,"С"))</f>
        <v>10</v>
      </c>
      <c r="AO11" s="75">
        <f t="shared" ref="AO11:AO32" si="5">SUM(E11:AI11)</f>
        <v>177.99999999999994</v>
      </c>
      <c r="AP11" s="85">
        <f>(DAY(EOMONTH(E10, 0)) - AN11 - AK11) * AU11 * D11</f>
        <v>161.70000000000002</v>
      </c>
      <c r="AQ11" s="86">
        <f>AP11 - AO11</f>
        <v>-16.299999999999926</v>
      </c>
      <c r="AR11" s="87">
        <f>AQ11/(AJ11-(AM11/4))</f>
        <v>-0.81499999999999628</v>
      </c>
      <c r="AS11" s="120">
        <v>0.33333333333333331</v>
      </c>
      <c r="AU11" s="28">
        <f t="shared" ref="AU11:AU32" si="6">IF(C11="вихователь", 6, IF(C11="каштелян", 8, IF(C11="буфетниця", 8, IF(C11="молодша м/с", 8, IF(C11="сестр. госп.", 8, 7.7)))))</f>
        <v>7.7</v>
      </c>
      <c r="AV11" s="28" t="s">
        <v>22</v>
      </c>
      <c r="AW11" s="27"/>
      <c r="AX11" s="115"/>
      <c r="BA11" s="102">
        <f t="shared" ref="BA11:BA32" si="7">A11</f>
        <v>1</v>
      </c>
      <c r="BB11" s="103" t="str">
        <f t="shared" ref="BB11:BB32" si="8">B11</f>
        <v>Іващенко А.Д.</v>
      </c>
      <c r="BC11" s="94" t="str">
        <f t="shared" ref="BC11:BC32" si="9">C11</f>
        <v>лікар-онколог</v>
      </c>
      <c r="BD11" s="117" t="str">
        <f>IF(ISNUMBER(E11),
IF(IsBold(E11), TIME(0,0,0),
IF(E11&gt;8, TIME(23,0,0) - (E11 - 1)/24, AS11)), "")</f>
        <v/>
      </c>
      <c r="BE11" s="97" t="str">
        <f>IF(BD11=TIME(0,0,0), BD11 + (E11/24),
 IF(AND(E11&gt;6, E11&lt;=8), BD11 + ((E11+0.5)/24),
 IF(AND(E11&gt;0, E11&lt;=16), BD11 + (E11/24), "")))</f>
        <v/>
      </c>
      <c r="BF11" s="97">
        <f>IF(ISNUMBER(F11),
IF(IsBold(F11), TIME(0,0,0),
IF(F11&gt;8, TIME(23,0,0) - (F11 - 1)/24, AS11)), "")</f>
        <v>0.33333333333333331</v>
      </c>
      <c r="BG11" s="97">
        <f>IF(BF11=TIME(0,0,0), BF11 + (F11/24),
 IF(AND(F11&gt;6, F11&lt;=8), BF11 + ((F11+0.5)/24),
 IF(AND(F11&gt;0, F11&lt;=16), BF11 + (F11/24), "")))</f>
        <v>0.67499999999999993</v>
      </c>
      <c r="BH11" s="97">
        <f>IF(ISNUMBER(G11),
IF(IsBold(G11), TIME(0,0,0),
IF(G11&gt;8, TIME(23,0,0) - (G11 - 1)/24, AS11)), "")</f>
        <v>0.33333333333333331</v>
      </c>
      <c r="BI11" s="97">
        <f>IF(BH11=TIME(0,0,0), BH11 + (G11/24),
 IF(AND(G11&gt;6, G11&lt;=8), BH11 + ((G11+0.5)/24),
 IF(AND(G11&gt;0, G11&lt;=16), BH11 + (G11/24), "")))</f>
        <v>0.67499999999999993</v>
      </c>
      <c r="BJ11" s="97">
        <f>IF(ISNUMBER(H11),
IF(IsBold(H11), TIME(0,0,0),
IF(H11&gt;8, TIME(23,0,0) - (H11 - 1)/24, AS11)), "")</f>
        <v>0.33333333333333331</v>
      </c>
      <c r="BK11" s="97">
        <f>IF(BJ11=TIME(0,0,0), BJ11 + (H11/24),
 IF(AND(H11&gt;6, H11&lt;=8), BJ11 + ((H11+0.5)/24),
 IF(AND(H11&gt;0, H11&lt;=16), BJ11 + (H11/24), "")))</f>
        <v>0.67499999999999993</v>
      </c>
      <c r="BL11" s="97">
        <f>IF(ISNUMBER(I11),
IF(IsBold(I11), TIME(0,0,0),
IF(I11&gt;8, TIME(23,0,0) - (I11 - 1)/24, AS11)), "")</f>
        <v>0.33333333333333331</v>
      </c>
      <c r="BM11" s="97">
        <f>IF(BL11=TIME(0,0,0), BL11 + (I11/24),
 IF(AND(I11&gt;6, I11&lt;=8), BL11 + ((I11+0.5)/24),
 IF(AND(I11&gt;0, I11&lt;=16), BL11 + (I11/24), "")))</f>
        <v>0.67499999999999993</v>
      </c>
      <c r="BN11" s="97">
        <f>IF(ISNUMBER(J11),
IF(IsBold(J11), TIME(0,0,0),
IF(J11&gt;8, TIME(23,0,0) - (J11 - 1)/24, AS11)), "")</f>
        <v>0.33333333333333331</v>
      </c>
      <c r="BO11" s="97">
        <f>IF(BN11=TIME(0,0,0), BN11 + (J11/24),
 IF(AND(J11&gt;6, J11&lt;=8), BN11 + ((J11+0.5)/24),
 IF(AND(J11&gt;0, J11&lt;=16), BN11 + (J11/24), "")))</f>
        <v>0.67499999999999993</v>
      </c>
      <c r="BP11" s="97" t="str">
        <f>IF(ISNUMBER(K11),
IF(IsBold(K11), TIME(0,0,0),
IF(K11&gt;8, TIME(23,0,0) - (K11 - 1)/24, AS11)), "")</f>
        <v/>
      </c>
      <c r="BQ11" s="97" t="str">
        <f>IF(BP11=TIME(0,0,0), BP11 + (K11/24),
 IF(AND(K11&gt;6, K11&lt;=8), BP11 + ((K11+0.5)/24),
 IF(AND(K11&gt;0, K11&lt;=16), BP11 + (K11/24), "")))</f>
        <v/>
      </c>
      <c r="BR11" s="97">
        <f>IF(ISNUMBER(L11),
IF(IsBold(L11), TIME(0,0,0),
IF(L11&gt;8, TIME(23,0,0) - (L11 - 1)/24, AS11)), "")</f>
        <v>0.33333333333333337</v>
      </c>
      <c r="BS11" s="97">
        <f>IF(BR11=TIME(0,0,0), BR11 + (L11/24),
 IF(AND(L11&gt;6, L11&lt;=8), BR11 + ((L11+0.5)/24),
 IF(AND(L11&gt;0, L11&lt;=16), BR11 + (L11/24), "")))</f>
        <v>1</v>
      </c>
      <c r="BT11" s="97">
        <f>IF(ISNUMBER(M11),
IF(IsBold(M11), TIME(0,0,0),
IF(M11&gt;8, TIME(23,0,0) - (M11 - 1)/24, AS11)), "")</f>
        <v>0</v>
      </c>
      <c r="BU11" s="97">
        <f>IF(BT11=TIME(0,0,0), BT11 + (M11/24),
 IF(AND(M11&gt;6, M11&lt;=8), BT11 + ((M11+0.5)/24),
 IF(AND(M11&gt;0, M11&lt;=16), BT11 + (M11/24), "")))</f>
        <v>0.33333333333333331</v>
      </c>
      <c r="BV11" s="97">
        <f>IF(ISNUMBER(N11),
IF(IsBold(N11), TIME(0,0,0),
IF(N11&gt;8, TIME(23,0,0) - (N11 - 1)/24, AS11)), "")</f>
        <v>0.33333333333333331</v>
      </c>
      <c r="BW11" s="97">
        <f>IF(BV11=TIME(0,0,0), BV11 + (N11/24),
 IF(AND(N11&gt;6, N11&lt;=8), BV11 + ((N11+0.5)/24),
 IF(AND(N11&gt;0, N11&lt;=16), BV11 + (N11/24), "")))</f>
        <v>0.67499999999999993</v>
      </c>
      <c r="BX11" s="97">
        <f>IF(ISNUMBER(O11),
IF(IsBold(O11), TIME(0,0,0),
IF(O11&gt;8, TIME(23,0,0) - (O11 - 1)/24, AS11)), "")</f>
        <v>0.33333333333333331</v>
      </c>
      <c r="BY11" s="97">
        <f>IF(BX11=TIME(0,0,0), BX11 + (O11/24),
 IF(AND(O11&gt;6, O11&lt;=8), BX11 + ((O11+0.5)/24),
 IF(AND(O11&gt;0, O11&lt;=16), BX11 + (O11/24), "")))</f>
        <v>0.67499999999999993</v>
      </c>
      <c r="BZ11" s="97">
        <f>IF(ISNUMBER(P11),
IF(IsBold(P11), TIME(0,0,0),
IF(P11&gt;8, TIME(23,0,0) - (P11 - 1)/24, AS11)), "")</f>
        <v>0.33333333333333331</v>
      </c>
      <c r="CA11" s="97">
        <f>IF(BZ11=TIME(0,0,0), BZ11 + (P11/24),
 IF(AND(P11&gt;6, P11&lt;=8), BZ11 + ((P11+0.5)/24),
 IF(AND(P11&gt;0, P11&lt;=16), BZ11 + (P11/24), "")))</f>
        <v>0.67499999999999993</v>
      </c>
      <c r="CB11" s="97">
        <f>IF(ISNUMBER(Q11),
IF(IsBold(Q11), TIME(0,0,0),
IF(Q11&gt;8, TIME(23,0,0) - (Q11 - 1)/24, AS11)), "")</f>
        <v>0.33333333333333331</v>
      </c>
      <c r="CC11" s="97">
        <f>IF(CB11=TIME(0,0,0), CB11 + (Q11/24),
 IF(AND(Q11&gt;6, Q11&lt;=8), CB11 + ((Q11+0.5)/24),
 IF(AND(Q11&gt;0, Q11&lt;=16), CB11 + (Q11/24), "")))</f>
        <v>0.67499999999999993</v>
      </c>
      <c r="CD11" s="97" t="str">
        <f>IF(ISNUMBER(R11),
IF(IsBold(R11), TIME(0,0,0),
IF(R11&gt;8, TIME(23,0,0) - (R11 - 1)/24, AS11)), "")</f>
        <v/>
      </c>
      <c r="CE11" s="97" t="str">
        <f>IF(CD11=TIME(0,0,0), CD11 + (R11/24),
 IF(AND(R11&gt;6, R11&lt;=8), CD11 + ((R11+0.5)/24),
 IF(AND(R11&gt;0, R11&lt;=16), CD11 + (R11/24), "")))</f>
        <v/>
      </c>
      <c r="CF11" s="97" t="str">
        <f>IF(ISNUMBER(S11),
IF(IsBold(S11), TIME(0,0,0),
IF(S11&gt;8, TIME(23,0,0) - (S11 - 1)/24, AS11)), "")</f>
        <v/>
      </c>
      <c r="CG11" s="98" t="str">
        <f>IF(CF11=TIME(0,0,0), CF11 + (S11/24),
 IF(AND(S11&gt;6, S11&lt;=8), CF11 + ((S11+0.5)/24),
 IF(AND(S11&gt;0, S11&lt;=16), CF11 + (S11/24), "")))</f>
        <v/>
      </c>
      <c r="CM11" s="102">
        <f t="shared" ref="CM11:CM32" si="10">A11</f>
        <v>1</v>
      </c>
      <c r="CN11" s="109" t="str">
        <f t="shared" ref="CN11:CN32" si="11">B11</f>
        <v>Іващенко А.Д.</v>
      </c>
      <c r="CO11" s="94" t="str">
        <f t="shared" ref="CO11:CO32" si="12">C11</f>
        <v>лікар-онколог</v>
      </c>
      <c r="CP11" s="117">
        <f>IF(ISNUMBER(T11),
IF(IsBold(T11), TIME(0,0,0),
IF(T11&gt;8, TIME(23,0,0) - (T11 - 1)/24, AS11)), "")</f>
        <v>0.33333333333333331</v>
      </c>
      <c r="CQ11" s="97">
        <f>IF(CP11=TIME(0,0,0), CP11 + (T11/24),
 IF(AND(T11&gt;6, T11&lt;=8), CP11 + ((T11+0.5)/24),
 IF(AND(T11&gt;0, T11&lt;=16), CP11 + (T11/24), "")))</f>
        <v>0.67499999999999993</v>
      </c>
      <c r="CR11" s="97">
        <f>IF(ISNUMBER(U11),
IF(IsBold(U11), TIME(0,0,0),
IF(U11&gt;8, TIME(23,0,0) - (U11 - 1)/24, AS11)), "")</f>
        <v>0.33333333333333331</v>
      </c>
      <c r="CS11" s="97">
        <f>IF(CR11=TIME(0,0,0), CR11 + (U11/24),
 IF(AND(U11&gt;6, U11&lt;=8), CR11 + ((U11+0.5)/24),
 IF(AND(U11&gt;0, U11&lt;=16), CR11 + (U11/24), "")))</f>
        <v>0.67499999999999993</v>
      </c>
      <c r="CT11" s="97" t="str">
        <f>IF(ISNUMBER(V11),
IF(IsBold(V11), TIME(0,0,0),
IF(V11&gt;8, TIME(23,0,0) - (V11 - 1)/24, AS11)), "")</f>
        <v/>
      </c>
      <c r="CU11" s="97" t="str">
        <f>IF(CT11=TIME(0,0,0), CT11 + (V11/24),
 IF(AND(V11&gt;6, V11&lt;=8), CT11 + ((V11+0.5)/24),
 IF(AND(V11&gt;0, V11&lt;=16), CT11 + (V11/24), "")))</f>
        <v/>
      </c>
      <c r="CV11" s="97">
        <f>IF(ISNUMBER(W11),
IF(IsBold(W11), TIME(0,0,0),
IF(W11&gt;8, TIME(23,0,0) - (W11 - 1)/24, AS11)), "")</f>
        <v>0.33333333333333331</v>
      </c>
      <c r="CW11" s="97">
        <f>IF(CV11=TIME(0,0,0), CV11 + (W11/24),
 IF(AND(W11&gt;6, W11&lt;=8), CV11 + ((W11+0.5)/24),
 IF(AND(W11&gt;0, W11&lt;=16), CV11 + (W11/24), "")))</f>
        <v>0.67499999999999993</v>
      </c>
      <c r="CX11" s="97">
        <f>IF(ISNUMBER(X11),
IF(IsBold(X11), TIME(0,0,0),
IF(X11&gt;8, TIME(23,0,0) - (X11 - 1)/24, AS11)), "")</f>
        <v>0.33333333333333331</v>
      </c>
      <c r="CY11" s="97">
        <f>IF(CX11=TIME(0,0,0), CX11 + (X11/24),
 IF(AND(X11&gt;6, X11&lt;=8), CX11 + ((X11+0.5)/24),
 IF(AND(X11&gt;0, X11&lt;=16), CX11 + (X11/24), "")))</f>
        <v>0.67499999999999993</v>
      </c>
      <c r="CZ11" s="97" t="str">
        <f>IF(ISNUMBER(Y11),
IF(IsBold(Y11), TIME(0,0,0),
IF(Y11&gt;8, TIME(23,0,0) - (Y11 - 1)/24, AS11)), "")</f>
        <v/>
      </c>
      <c r="DA11" s="97" t="str">
        <f>IF(CZ11=TIME(0,0,0), CZ11 + (Y11/24),
 IF(AND(Y11&gt;6, Y11&lt;=8), CZ11 + ((Y11+0.5)/24),
 IF(AND(Y11&gt;0, Y11&lt;=16), CZ11 + (Y11/24), "")))</f>
        <v/>
      </c>
      <c r="DB11" s="97" t="str">
        <f>IF(ISNUMBER(Z11),
IF(IsBold(Z11), TIME(0,0,0),
IF(Z11&gt;8, TIME(23,0,0) - (Z11 - 1)/24, AS11)), "")</f>
        <v/>
      </c>
      <c r="DC11" s="97" t="str">
        <f>IF(DB11=TIME(0,0,0), DB11 + (Z11/24),
 IF(AND(Z11&gt;6, Z11&lt;=8), DB11 + ((Z11+0.5)/24),
 IF(AND(Z11&gt;0, Z11&lt;=16), DB11 + (Z11/24), "")))</f>
        <v/>
      </c>
      <c r="DD11" s="97">
        <f>IF(ISNUMBER(AA11),
IF(IsBold(AA11), TIME(0,0,0),
IF(AA11&gt;8, TIME(23,0,0) - (AA11 - 1)/24, AS11)), "")</f>
        <v>0.33333333333333331</v>
      </c>
      <c r="DE11" s="97">
        <f>IF(DD11=TIME(0,0,0), DD11 + (AA11/24),
 IF(AND(AA11&gt;6, AA11&lt;=8), DD11 + ((AA11+0.5)/24),
 IF(AND(AA11&gt;0, AA11&lt;=16), DD11 + (AA11/24), "")))</f>
        <v>0.67499999999999993</v>
      </c>
      <c r="DF11" s="97">
        <f>IF(ISNUMBER(AB11),
IF(IsBold(AB11), TIME(0,0,0),
IF(AB11&gt;8, TIME(23,0,0) - (AB11 - 1)/24, AS11)), "")</f>
        <v>0.33333333333333331</v>
      </c>
      <c r="DG11" s="97">
        <f>IF(DF11=TIME(0,0,0), DF11 + (AB11/24),
 IF(AND(AB11&gt;6, AB11&lt;=8), DF11 + ((AB11+0.5)/24),
 IF(AND(AB11&gt;0, AB11&lt;=16), DF11 + (AB11/24), "")))</f>
        <v>0.67499999999999993</v>
      </c>
      <c r="DH11" s="97">
        <f>IF(ISNUMBER(AC11),
IF(IsBold(AC11), TIME(0,0,0),
IF(AC11&gt;8, TIME(23,0,0) - (AC11 - 1)/24, AS11)), "")</f>
        <v>0.33333333333333331</v>
      </c>
      <c r="DI11" s="97">
        <f>IF(DH11=TIME(0,0,0), DH11 + (AC11/24),
 IF(AND(AC11&gt;6, AC11&lt;=8), DH11 + ((AC11+0.5)/24),
 IF(AND(AC11&gt;0, AC11&lt;=16), DH11 + (AC11/24), "")))</f>
        <v>0.67499999999999993</v>
      </c>
      <c r="DJ11" s="97">
        <f>IF(ISNUMBER(AD11),
IF(IsBold(AD11), TIME(0,0,0),
IF(AD11&gt;8, TIME(23,0,0) - (AD11 - 1)/24, AS11)), "")</f>
        <v>0.33333333333333331</v>
      </c>
      <c r="DK11" s="97">
        <f>IF(DJ11=TIME(0,0,0), DJ11 + (AD11/24),
 IF(AND(AD11&gt;6, AD11&lt;=8), DJ11 + ((AD11+0.5)/24),
 IF(AND(AD11&gt;0, AD11&lt;=16), DJ11 + (AD11/24), "")))</f>
        <v>0.67499999999999993</v>
      </c>
      <c r="DL11" s="97">
        <f>IF(ISNUMBER(AE11),
IF(IsBold(AE11), TIME(0,0,0),
IF(AE11&gt;8, TIME(23,0,0) - (AE11 - 1)/24, AS11)), "")</f>
        <v>0.33333333333333331</v>
      </c>
      <c r="DM11" s="97">
        <f>IF(DL11=TIME(0,0,0), DL11 + (AE11/24),
 IF(AND(AE11&gt;6, AE11&lt;=8), DL11 + ((AE11+0.5)/24),
 IF(AND(AE11&gt;0, AE11&lt;=16), DL11 + (AE11/24), "")))</f>
        <v>0.67499999999999993</v>
      </c>
      <c r="DN11" s="97" t="str">
        <f>IF(ISNUMBER(AF11),
IF(IsBold(AF11), TIME(0,0,0),
IF(AF11&gt;8, TIME(23,0,0) - (AF11 - 1)/24, AS11)), "")</f>
        <v/>
      </c>
      <c r="DO11" s="97" t="str">
        <f>IF(DN11=TIME(0,0,0), DN11 + (AF11/24),
 IF(AND(AF11&gt;6, AF11&lt;=8), DN11 + ((AF11+0.5)/24),
 IF(AND(AF11&gt;0, AF11&lt;=16), DN11 + (AF11/24), "")))</f>
        <v/>
      </c>
      <c r="DP11" s="97" t="str">
        <f>IF(ISNUMBER(AG11),
IF(IsBold(AG11), TIME(0,0,0),
IF(AG11&gt;8, TIME(23,0,0) - (AG11 - 1)/24, AS11)), "")</f>
        <v/>
      </c>
      <c r="DQ11" s="97" t="str">
        <f>IF(DP11=TIME(0,0,0), DP11 + (AG11/24),
 IF(AND(AG11&gt;6, AG11&lt;=8), DP11 + ((AG11+0.5)/24),
 IF(AND(AG11&gt;0, AG11&lt;=16), DP11 + (AG11/24), "")))</f>
        <v/>
      </c>
      <c r="DR11" s="97">
        <f>IF(ISNUMBER(AH11),
IF(IsBold(AH11), TIME(0,0,0),
IF(AH11&gt;8, TIME(23,0,0) - (AH11 - 1)/24, AS11)), "")</f>
        <v>0.33333333333333331</v>
      </c>
      <c r="DS11" s="97">
        <f>IF(DR11=TIME(0,0,0), DR11 + (AH11/24),
 IF(AND(AH11&gt;6, AH11&lt;=8), DR11 + ((AH11+0.5)/24),
 IF(AND(AH11&gt;0, AH11&lt;=16), DR11 + (AH11/24), "")))</f>
        <v>0.67499999999999993</v>
      </c>
      <c r="DT11" s="97">
        <f>IF(ISNUMBER(AI11),
IF(IsBold(AI11), TIME(0,0,0),
IF(AI11&gt;8, TIME(23,0,0) - (AI11 - 1)/24, AS11)), "")</f>
        <v>0.33333333333333331</v>
      </c>
      <c r="DU11" s="98">
        <f>IF(DT11=TIME(0,0,0), DT11 + (AI11/24),
 IF(AND(AI11&gt;6, AI11&lt;=8), DT11 + ((AI11+0.5)/24),
 IF(AND(AI11&gt;0, AI11&lt;=16), DT11 + (AI11/24), "")))</f>
        <v>0.67499999999999993</v>
      </c>
      <c r="DV11" s="111">
        <f>AO11</f>
        <v>177.99999999999994</v>
      </c>
    </row>
    <row r="12" spans="1:126" x14ac:dyDescent="0.3">
      <c r="A12" s="12">
        <v>2</v>
      </c>
      <c r="B12" s="59" t="s">
        <v>28</v>
      </c>
      <c r="C12" s="54" t="s">
        <v>32</v>
      </c>
      <c r="D12" s="55">
        <v>1</v>
      </c>
      <c r="E12" s="56"/>
      <c r="F12" s="56">
        <v>8</v>
      </c>
      <c r="G12" s="56">
        <v>8</v>
      </c>
      <c r="H12" s="56">
        <v>8</v>
      </c>
      <c r="I12" s="56">
        <v>8</v>
      </c>
      <c r="J12" s="56">
        <v>8</v>
      </c>
      <c r="K12" s="56"/>
      <c r="L12" s="56"/>
      <c r="M12" s="56">
        <v>8</v>
      </c>
      <c r="N12" s="56">
        <v>8</v>
      </c>
      <c r="O12" s="56">
        <v>8</v>
      </c>
      <c r="P12" s="56">
        <v>8</v>
      </c>
      <c r="Q12" s="56">
        <v>8</v>
      </c>
      <c r="R12" s="56"/>
      <c r="S12" s="56"/>
      <c r="T12" s="56">
        <v>8</v>
      </c>
      <c r="U12" s="56">
        <v>8</v>
      </c>
      <c r="V12" s="56" t="s">
        <v>41</v>
      </c>
      <c r="W12" s="56">
        <v>8</v>
      </c>
      <c r="X12" s="56">
        <v>8</v>
      </c>
      <c r="Y12" s="56"/>
      <c r="Z12" s="56"/>
      <c r="AA12" s="56">
        <v>8</v>
      </c>
      <c r="AB12" s="56">
        <v>8</v>
      </c>
      <c r="AC12" s="56">
        <v>8</v>
      </c>
      <c r="AD12" s="56">
        <v>8</v>
      </c>
      <c r="AE12" s="56">
        <v>8</v>
      </c>
      <c r="AF12" s="56"/>
      <c r="AG12" s="56"/>
      <c r="AH12" s="56" t="s">
        <v>27</v>
      </c>
      <c r="AI12" s="56" t="s">
        <v>27</v>
      </c>
      <c r="AJ12" s="73">
        <f t="shared" si="1"/>
        <v>19</v>
      </c>
      <c r="AK12" s="74">
        <f t="shared" si="2"/>
        <v>2</v>
      </c>
      <c r="AL12" s="76">
        <f t="shared" si="3"/>
        <v>0</v>
      </c>
      <c r="AM12" s="74">
        <f t="shared" si="4"/>
        <v>0</v>
      </c>
      <c r="AN12" s="74">
        <f>SUM(CountWeekendDays(E10)+COUNTIF(E12:AI12,"С"))</f>
        <v>10</v>
      </c>
      <c r="AO12" s="77">
        <f t="shared" si="5"/>
        <v>152</v>
      </c>
      <c r="AP12" s="88">
        <f>(DAY(EOMONTH(E10, 0)) - AN12 - AK12) * AU12  * D12</f>
        <v>152</v>
      </c>
      <c r="AQ12" s="89">
        <f t="shared" ref="AQ12:AQ14" si="13">AP12 - AO12</f>
        <v>0</v>
      </c>
      <c r="AR12" s="90">
        <f>AQ12/(AJ12-(AM12/4))</f>
        <v>0</v>
      </c>
      <c r="AS12" s="121">
        <v>0.33333333333333331</v>
      </c>
      <c r="AU12" s="28">
        <f t="shared" si="6"/>
        <v>8</v>
      </c>
      <c r="AV12" s="28" t="s">
        <v>12</v>
      </c>
      <c r="AW12" s="27"/>
      <c r="AX12" s="115"/>
      <c r="BA12" s="104">
        <f t="shared" si="7"/>
        <v>2</v>
      </c>
      <c r="BB12" s="105" t="str">
        <f t="shared" si="8"/>
        <v>Петрик П.М.</v>
      </c>
      <c r="BC12" s="95" t="str">
        <f t="shared" si="9"/>
        <v>каштелян</v>
      </c>
      <c r="BD12" s="118" t="str">
        <f>IF(ISNUMBER(E12),
IF(IsBold(E12), TIME(0,0,0),
IF(E12&gt;8, TIME(23,0,0) - (E12 - 1)/24, AS12)), "")</f>
        <v/>
      </c>
      <c r="BE12" s="78" t="str">
        <f t="shared" ref="BE12:BE32" si="14">IF(BD12=TIME(0,0,0), BD12 + (E12/24),
 IF(AND(E12&gt;6, E12&lt;=8), BD12 + ((E12+0.5)/24),
 IF(AND(E12&gt;0, E12&lt;=16), BD12 + (E12/24), "")))</f>
        <v/>
      </c>
      <c r="BF12" s="78">
        <f>IF(ISNUMBER(F12),
IF(IsBold(F12), TIME(0,0,0),
IF(F12&gt;8, TIME(23,0,0) - (F12 - 1)/24, AS12)), "")</f>
        <v>0.33333333333333331</v>
      </c>
      <c r="BG12" s="78">
        <f t="shared" ref="BG12:BG32" si="15">IF(BF12=TIME(0,0,0), BF12 + (F12/24),
 IF(AND(F12&gt;6, F12&lt;=8), BF12 + ((F12+0.5)/24),
 IF(AND(F12&gt;0, F12&lt;=16), BF12 + (F12/24), "")))</f>
        <v>0.6875</v>
      </c>
      <c r="BH12" s="78">
        <f>IF(ISNUMBER(G12),
IF(IsBold(G12), TIME(0,0,0),
IF(G12&gt;8, TIME(23,0,0) - (G12 - 1)/24, AS12)), "")</f>
        <v>0.33333333333333331</v>
      </c>
      <c r="BI12" s="78">
        <f t="shared" ref="BI12:BI32" si="16">IF(BH12=TIME(0,0,0), BH12 + (G12/24),
 IF(AND(G12&gt;6, G12&lt;=8), BH12 + ((G12+0.5)/24),
 IF(AND(G12&gt;0, G12&lt;=16), BH12 + (G12/24), "")))</f>
        <v>0.6875</v>
      </c>
      <c r="BJ12" s="78">
        <f>IF(ISNUMBER(H12),
IF(IsBold(H12), TIME(0,0,0),
IF(H12&gt;8, TIME(23,0,0) - (H12 - 1)/24, AS12)), "")</f>
        <v>0.33333333333333331</v>
      </c>
      <c r="BK12" s="78">
        <f t="shared" ref="BK12:BK32" si="17">IF(BJ12=TIME(0,0,0), BJ12 + (H12/24),
 IF(AND(H12&gt;6, H12&lt;=8), BJ12 + ((H12+0.5)/24),
 IF(AND(H12&gt;0, H12&lt;=16), BJ12 + (H12/24), "")))</f>
        <v>0.6875</v>
      </c>
      <c r="BL12" s="78">
        <f>IF(ISNUMBER(I12),
IF(IsBold(I12), TIME(0,0,0),
IF(I12&gt;8, TIME(23,0,0) - (I12 - 1)/24, AS12)), "")</f>
        <v>0.33333333333333331</v>
      </c>
      <c r="BM12" s="78">
        <f t="shared" ref="BM12:BM32" si="18">IF(BL12=TIME(0,0,0), BL12 + (I12/24),
 IF(AND(I12&gt;6, I12&lt;=8), BL12 + ((I12+0.5)/24),
 IF(AND(I12&gt;0, I12&lt;=16), BL12 + (I12/24), "")))</f>
        <v>0.6875</v>
      </c>
      <c r="BN12" s="78">
        <f>IF(ISNUMBER(J12),
IF(IsBold(J12), TIME(0,0,0),
IF(J12&gt;8, TIME(23,0,0) - (J12 - 1)/24, AS12)), "")</f>
        <v>0.33333333333333331</v>
      </c>
      <c r="BO12" s="78">
        <f t="shared" ref="BO12:BO32" si="19">IF(BN12=TIME(0,0,0), BN12 + (J12/24),
 IF(AND(J12&gt;6, J12&lt;=8), BN12 + ((J12+0.5)/24),
 IF(AND(J12&gt;0, J12&lt;=16), BN12 + (J12/24), "")))</f>
        <v>0.6875</v>
      </c>
      <c r="BP12" s="78" t="str">
        <f>IF(ISNUMBER(K12),
IF(IsBold(K12), TIME(0,0,0),
IF(K12&gt;8, TIME(23,0,0) - (K12 - 1)/24, AS12)), "")</f>
        <v/>
      </c>
      <c r="BQ12" s="78" t="str">
        <f t="shared" ref="BQ12:BQ32" si="20">IF(BP12=TIME(0,0,0), BP12 + (K12/24),
 IF(AND(K12&gt;6, K12&lt;=8), BP12 + ((K12+0.5)/24),
 IF(AND(K12&gt;0, K12&lt;=16), BP12 + (K12/24), "")))</f>
        <v/>
      </c>
      <c r="BR12" s="78" t="str">
        <f>IF(ISNUMBER(L12),
IF(IsBold(L12), TIME(0,0,0),
IF(L12&gt;8, TIME(23,0,0) - (L12 - 1)/24, AS12)), "")</f>
        <v/>
      </c>
      <c r="BS12" s="78" t="str">
        <f t="shared" ref="BS12:BS32" si="21">IF(BR12=TIME(0,0,0), BR12 + (L12/24),
 IF(AND(L12&gt;6, L12&lt;=8), BR12 + ((L12+0.5)/24),
 IF(AND(L12&gt;0, L12&lt;=16), BR12 + (L12/24), "")))</f>
        <v/>
      </c>
      <c r="BT12" s="78">
        <f>IF(ISNUMBER(M12),
IF(IsBold(M12), TIME(0,0,0),
IF(M12&gt;8, TIME(23,0,0) - (M12 - 1)/24, AS12)), "")</f>
        <v>0.33333333333333331</v>
      </c>
      <c r="BU12" s="78">
        <f t="shared" ref="BU12:BU32" si="22">IF(BT12=TIME(0,0,0), BT12 + (M12/24),
 IF(AND(M12&gt;6, M12&lt;=8), BT12 + ((M12+0.5)/24),
 IF(AND(M12&gt;0, M12&lt;=16), BT12 + (M12/24), "")))</f>
        <v>0.6875</v>
      </c>
      <c r="BV12" s="78">
        <f>IF(ISNUMBER(N12),
IF(IsBold(N12), TIME(0,0,0),
IF(N12&gt;8, TIME(23,0,0) - (N12 - 1)/24, AS12)), "")</f>
        <v>0.33333333333333331</v>
      </c>
      <c r="BW12" s="78">
        <f t="shared" ref="BW12:BW32" si="23">IF(BV12=TIME(0,0,0), BV12 + (N12/24),
 IF(AND(N12&gt;6, N12&lt;=8), BV12 + ((N12+0.5)/24),
 IF(AND(N12&gt;0, N12&lt;=16), BV12 + (N12/24), "")))</f>
        <v>0.6875</v>
      </c>
      <c r="BX12" s="78">
        <f>IF(ISNUMBER(O12),
IF(IsBold(O12), TIME(0,0,0),
IF(O12&gt;8, TIME(23,0,0) - (O12 - 1)/24, AS12)), "")</f>
        <v>0.33333333333333331</v>
      </c>
      <c r="BY12" s="78">
        <f t="shared" ref="BY12:BY32" si="24">IF(BX12=TIME(0,0,0), BX12 + (O12/24),
 IF(AND(O12&gt;6, O12&lt;=8), BX12 + ((O12+0.5)/24),
 IF(AND(O12&gt;0, O12&lt;=16), BX12 + (O12/24), "")))</f>
        <v>0.6875</v>
      </c>
      <c r="BZ12" s="78">
        <f>IF(ISNUMBER(P12),
IF(IsBold(P12), TIME(0,0,0),
IF(P12&gt;8, TIME(23,0,0) - (P12 - 1)/24, AS12)), "")</f>
        <v>0.33333333333333331</v>
      </c>
      <c r="CA12" s="78">
        <f t="shared" ref="CA12:CA32" si="25">IF(BZ12=TIME(0,0,0), BZ12 + (P12/24),
 IF(AND(P12&gt;6, P12&lt;=8), BZ12 + ((P12+0.5)/24),
 IF(AND(P12&gt;0, P12&lt;=16), BZ12 + (P12/24), "")))</f>
        <v>0.6875</v>
      </c>
      <c r="CB12" s="78">
        <f>IF(ISNUMBER(Q12),
IF(IsBold(Q12), TIME(0,0,0),
IF(Q12&gt;8, TIME(23,0,0) - (Q12 - 1)/24, AS12)), "")</f>
        <v>0.33333333333333331</v>
      </c>
      <c r="CC12" s="78">
        <f t="shared" ref="CC12:CC32" si="26">IF(CB12=TIME(0,0,0), CB12 + (Q12/24),
 IF(AND(Q12&gt;6, Q12&lt;=8), CB12 + ((Q12+0.5)/24),
 IF(AND(Q12&gt;0, Q12&lt;=16), CB12 + (Q12/24), "")))</f>
        <v>0.6875</v>
      </c>
      <c r="CD12" s="78" t="str">
        <f>IF(ISNUMBER(R12),
IF(IsBold(R12), TIME(0,0,0),
IF(R12&gt;8, TIME(23,0,0) - (R12 - 1)/24, AS12)), "")</f>
        <v/>
      </c>
      <c r="CE12" s="78" t="str">
        <f t="shared" ref="CE12:CE32" si="27">IF(CD12=TIME(0,0,0), CD12 + (R12/24),
 IF(AND(R12&gt;6, R12&lt;=8), CD12 + ((R12+0.5)/24),
 IF(AND(R12&gt;0, R12&lt;=16), CD12 + (R12/24), "")))</f>
        <v/>
      </c>
      <c r="CF12" s="78" t="str">
        <f>IF(ISNUMBER(S12),
IF(IsBold(S12), TIME(0,0,0),
IF(S12&gt;8, TIME(23,0,0) - (S12 - 1)/24, AS12)), "")</f>
        <v/>
      </c>
      <c r="CG12" s="99" t="str">
        <f t="shared" ref="CG12:CG32" si="28">IF(CF12=TIME(0,0,0), CF12 + (S12/24),
 IF(AND(S12&gt;6, S12&lt;=8), CF12 + ((S12+0.5)/24),
 IF(AND(S12&gt;0, S12&lt;=16), CF12 + (S12/24), "")))</f>
        <v/>
      </c>
      <c r="CM12" s="104">
        <f t="shared" si="10"/>
        <v>2</v>
      </c>
      <c r="CN12" s="106" t="str">
        <f t="shared" si="11"/>
        <v>Петрик П.М.</v>
      </c>
      <c r="CO12" s="95" t="str">
        <f t="shared" si="12"/>
        <v>каштелян</v>
      </c>
      <c r="CP12" s="123">
        <f>IF(ISNUMBER(T12),
IF(IsBold(T12), TIME(0,0,0),
IF(T12&gt;8, TIME(23,0,0) - (T12 - 1)/24, AS12)), "")</f>
        <v>0.33333333333333331</v>
      </c>
      <c r="CQ12" s="124">
        <f t="shared" ref="CQ12:CQ32" si="29">IF(CP12=TIME(0,0,0), CP12 + (T12/24),
 IF(AND(T12&gt;6, T12&lt;=8), CP12 + ((T12+0.5)/24),
 IF(AND(T12&gt;0, T12&lt;=16), CP12 + (T12/24), "")))</f>
        <v>0.6875</v>
      </c>
      <c r="CR12" s="124">
        <f>IF(ISNUMBER(U12),
IF(IsBold(U12), TIME(0,0,0),
IF(U12&gt;8, TIME(23,0,0) - (U12 - 1)/24, AS12)), "")</f>
        <v>0.33333333333333331</v>
      </c>
      <c r="CS12" s="124">
        <f t="shared" ref="CS12:CS32" si="30">IF(CR12=TIME(0,0,0), CR12 + (U12/24),
 IF(AND(U12&gt;6, U12&lt;=8), CR12 + ((U12+0.5)/24),
 IF(AND(U12&gt;0, U12&lt;=16), CR12 + (U12/24), "")))</f>
        <v>0.6875</v>
      </c>
      <c r="CT12" s="124" t="str">
        <f>IF(ISNUMBER(V12),
IF(IsBold(V12), TIME(0,0,0),
IF(V12&gt;8, TIME(23,0,0) - (V12 - 1)/24, AS12)), "")</f>
        <v/>
      </c>
      <c r="CU12" s="124" t="str">
        <f t="shared" ref="CU12:CU32" si="31">IF(CT12=TIME(0,0,0), CT12 + (V12/24),
 IF(AND(V12&gt;6, V12&lt;=8), CT12 + ((V12+0.5)/24),
 IF(AND(V12&gt;0, V12&lt;=16), CT12 + (V12/24), "")))</f>
        <v/>
      </c>
      <c r="CV12" s="124">
        <f>IF(ISNUMBER(W12),
IF(IsBold(W12), TIME(0,0,0),
IF(W12&gt;8, TIME(23,0,0) - (W12 - 1)/24, AS12)), "")</f>
        <v>0.33333333333333331</v>
      </c>
      <c r="CW12" s="124">
        <f t="shared" ref="CW12:CW32" si="32">IF(CV12=TIME(0,0,0), CV12 + (W12/24),
 IF(AND(W12&gt;6, W12&lt;=8), CV12 + ((W12+0.5)/24),
 IF(AND(W12&gt;0, W12&lt;=16), CV12 + (W12/24), "")))</f>
        <v>0.6875</v>
      </c>
      <c r="CX12" s="124">
        <f>IF(ISNUMBER(X12),
IF(IsBold(X12), TIME(0,0,0),
IF(X12&gt;8, TIME(23,0,0) - (X12 - 1)/24, AS12)), "")</f>
        <v>0.33333333333333331</v>
      </c>
      <c r="CY12" s="124">
        <f t="shared" ref="CY12:CY32" si="33">IF(CX12=TIME(0,0,0), CX12 + (X12/24),
 IF(AND(X12&gt;6, X12&lt;=8), CX12 + ((X12+0.5)/24),
 IF(AND(X12&gt;0, X12&lt;=16), CX12 + (X12/24), "")))</f>
        <v>0.6875</v>
      </c>
      <c r="CZ12" s="124" t="str">
        <f>IF(ISNUMBER(Y12),
IF(IsBold(Y12), TIME(0,0,0),
IF(Y12&gt;8, TIME(23,0,0) - (Y12 - 1)/24, AS12)), "")</f>
        <v/>
      </c>
      <c r="DA12" s="124" t="str">
        <f t="shared" ref="DA12:DA32" si="34">IF(CZ12=TIME(0,0,0), CZ12 + (Y12/24),
 IF(AND(Y12&gt;6, Y12&lt;=8), CZ12 + ((Y12+0.5)/24),
 IF(AND(Y12&gt;0, Y12&lt;=16), CZ12 + (Y12/24), "")))</f>
        <v/>
      </c>
      <c r="DB12" s="124" t="str">
        <f>IF(ISNUMBER(Z12),
IF(IsBold(Z12), TIME(0,0,0),
IF(Z12&gt;8, TIME(23,0,0) - (Z12 - 1)/24, AS12)), "")</f>
        <v/>
      </c>
      <c r="DC12" s="124" t="str">
        <f t="shared" ref="DC12:DC32" si="35">IF(DB12=TIME(0,0,0), DB12 + (Z12/24),
 IF(AND(Z12&gt;6, Z12&lt;=8), DB12 + ((Z12+0.5)/24),
 IF(AND(Z12&gt;0, Z12&lt;=16), DB12 + (Z12/24), "")))</f>
        <v/>
      </c>
      <c r="DD12" s="124">
        <f>IF(ISNUMBER(AA12),
IF(IsBold(AA12), TIME(0,0,0),
IF(AA12&gt;8, TIME(23,0,0) - (AA12 - 1)/24, AS12)), "")</f>
        <v>0.33333333333333331</v>
      </c>
      <c r="DE12" s="124">
        <f t="shared" ref="DE12:DE32" si="36">IF(DD12=TIME(0,0,0), DD12 + (AA12/24),
 IF(AND(AA12&gt;6, AA12&lt;=8), DD12 + ((AA12+0.5)/24),
 IF(AND(AA12&gt;0, AA12&lt;=16), DD12 + (AA12/24), "")))</f>
        <v>0.6875</v>
      </c>
      <c r="DF12" s="124">
        <f>IF(ISNUMBER(AB12),
IF(IsBold(AB12), TIME(0,0,0),
IF(AB12&gt;8, TIME(23,0,0) - (AB12 - 1)/24, AS12)), "")</f>
        <v>0.33333333333333331</v>
      </c>
      <c r="DG12" s="124">
        <f t="shared" ref="DG12:DG32" si="37">IF(DF12=TIME(0,0,0), DF12 + (AB12/24),
 IF(AND(AB12&gt;6, AB12&lt;=8), DF12 + ((AB12+0.5)/24),
 IF(AND(AB12&gt;0, AB12&lt;=16), DF12 + (AB12/24), "")))</f>
        <v>0.6875</v>
      </c>
      <c r="DH12" s="124">
        <f>IF(ISNUMBER(AC12),
IF(IsBold(AC12), TIME(0,0,0),
IF(AC12&gt;8, TIME(23,0,0) - (AC12 - 1)/24, AS12)), "")</f>
        <v>0.33333333333333331</v>
      </c>
      <c r="DI12" s="124">
        <f t="shared" ref="DI12:DI32" si="38">IF(DH12=TIME(0,0,0), DH12 + (AC12/24),
 IF(AND(AC12&gt;6, AC12&lt;=8), DH12 + ((AC12+0.5)/24),
 IF(AND(AC12&gt;0, AC12&lt;=16), DH12 + (AC12/24), "")))</f>
        <v>0.6875</v>
      </c>
      <c r="DJ12" s="124">
        <f>IF(ISNUMBER(AD12),
IF(IsBold(AD12), TIME(0,0,0),
IF(AD12&gt;8, TIME(23,0,0) - (AD12 - 1)/24, AS12)), "")</f>
        <v>0.33333333333333331</v>
      </c>
      <c r="DK12" s="124">
        <f t="shared" ref="DK12:DK32" si="39">IF(DJ12=TIME(0,0,0), DJ12 + (AD12/24),
 IF(AND(AD12&gt;6, AD12&lt;=8), DJ12 + ((AD12+0.5)/24),
 IF(AND(AD12&gt;0, AD12&lt;=16), DJ12 + (AD12/24), "")))</f>
        <v>0.6875</v>
      </c>
      <c r="DL12" s="124">
        <f>IF(ISNUMBER(AE12),
IF(IsBold(AE12), TIME(0,0,0),
IF(AE12&gt;8, TIME(23,0,0) - (AE12 - 1)/24, AS12)), "")</f>
        <v>0.33333333333333331</v>
      </c>
      <c r="DM12" s="124">
        <f t="shared" ref="DM12:DM32" si="40">IF(DL12=TIME(0,0,0), DL12 + (AE12/24),
 IF(AND(AE12&gt;6, AE12&lt;=8), DL12 + ((AE12+0.5)/24),
 IF(AND(AE12&gt;0, AE12&lt;=16), DL12 + (AE12/24), "")))</f>
        <v>0.6875</v>
      </c>
      <c r="DN12" s="124" t="str">
        <f>IF(ISNUMBER(AF12),
IF(IsBold(AF12), TIME(0,0,0),
IF(AF12&gt;8, TIME(23,0,0) - (AF12 - 1)/24, AS12)), "")</f>
        <v/>
      </c>
      <c r="DO12" s="124" t="str">
        <f t="shared" ref="DO12:DO32" si="41">IF(DN12=TIME(0,0,0), DN12 + (AF12/24),
 IF(AND(AF12&gt;6, AF12&lt;=8), DN12 + ((AF12+0.5)/24),
 IF(AND(AF12&gt;0, AF12&lt;=16), DN12 + (AF12/24), "")))</f>
        <v/>
      </c>
      <c r="DP12" s="124" t="str">
        <f>IF(ISNUMBER(AG12),
IF(IsBold(AG12), TIME(0,0,0),
IF(AG12&gt;8, TIME(23,0,0) - (AG12 - 1)/24, AS12)), "")</f>
        <v/>
      </c>
      <c r="DQ12" s="124" t="str">
        <f t="shared" ref="DQ12:DQ32" si="42">IF(DP12=TIME(0,0,0), DP12 + (AG12/24),
 IF(AND(AG12&gt;6, AG12&lt;=8), DP12 + ((AG12+0.5)/24),
 IF(AND(AG12&gt;0, AG12&lt;=16), DP12 + (AG12/24), "")))</f>
        <v/>
      </c>
      <c r="DR12" s="124" t="str">
        <f>IF(ISNUMBER(AH12),
IF(IsBold(AH12), TIME(0,0,0),
IF(AH12&gt;8, TIME(23,0,0) - (AH12 - 1)/24, AS12)), "")</f>
        <v/>
      </c>
      <c r="DS12" s="124" t="str">
        <f t="shared" ref="DS12:DS32" si="43">IF(DR12=TIME(0,0,0), DR12 + (AH12/24),
 IF(AND(AH12&gt;6, AH12&lt;=8), DR12 + ((AH12+0.5)/24),
 IF(AND(AH12&gt;0, AH12&lt;=16), DR12 + (AH12/24), "")))</f>
        <v/>
      </c>
      <c r="DT12" s="124" t="str">
        <f>IF(ISNUMBER(AI12),
IF(IsBold(AI12), TIME(0,0,0),
IF(AI12&gt;8, TIME(23,0,0) - (AI12 - 1)/24, AS12)), "")</f>
        <v/>
      </c>
      <c r="DU12" s="125" t="str">
        <f t="shared" ref="DU12:DU32" si="44">IF(DT12=TIME(0,0,0), DT12 + (AI12/24),
 IF(AND(AI12&gt;6, AI12&lt;=8), DT12 + ((AI12+0.5)/24),
 IF(AND(AI12&gt;0, AI12&lt;=16), DT12 + (AI12/24), "")))</f>
        <v/>
      </c>
      <c r="DV12" s="112">
        <f t="shared" ref="DV12:DV32" si="45">AO12</f>
        <v>152</v>
      </c>
    </row>
    <row r="13" spans="1:126" x14ac:dyDescent="0.3">
      <c r="A13" s="12">
        <v>3</v>
      </c>
      <c r="B13" s="59" t="s">
        <v>33</v>
      </c>
      <c r="C13" s="60" t="s">
        <v>21</v>
      </c>
      <c r="D13" s="61">
        <v>1</v>
      </c>
      <c r="E13" s="56"/>
      <c r="F13" s="62"/>
      <c r="G13" s="62">
        <v>16</v>
      </c>
      <c r="H13" s="58">
        <v>8</v>
      </c>
      <c r="I13" s="56"/>
      <c r="J13" s="56"/>
      <c r="K13" s="62">
        <v>16</v>
      </c>
      <c r="L13" s="58">
        <v>8</v>
      </c>
      <c r="M13" s="56"/>
      <c r="N13" s="56"/>
      <c r="O13" s="62">
        <v>16</v>
      </c>
      <c r="P13" s="58">
        <v>8</v>
      </c>
      <c r="Q13" s="56"/>
      <c r="R13" s="56"/>
      <c r="S13" s="63"/>
      <c r="T13" s="62">
        <v>16</v>
      </c>
      <c r="U13" s="58">
        <v>8</v>
      </c>
      <c r="V13" s="56" t="s">
        <v>41</v>
      </c>
      <c r="W13" s="62">
        <v>16</v>
      </c>
      <c r="X13" s="58">
        <v>8</v>
      </c>
      <c r="Y13" s="56"/>
      <c r="Z13" s="56"/>
      <c r="AA13" s="62">
        <v>16</v>
      </c>
      <c r="AB13" s="58">
        <v>8</v>
      </c>
      <c r="AC13" s="56"/>
      <c r="AD13" s="62"/>
      <c r="AE13" s="62">
        <v>16</v>
      </c>
      <c r="AF13" s="58">
        <v>8</v>
      </c>
      <c r="AG13" s="58"/>
      <c r="AH13" s="62"/>
      <c r="AI13" s="56"/>
      <c r="AJ13" s="73">
        <f t="shared" si="1"/>
        <v>14</v>
      </c>
      <c r="AK13" s="74">
        <f t="shared" si="2"/>
        <v>0</v>
      </c>
      <c r="AL13" s="76">
        <f t="shared" si="3"/>
        <v>0</v>
      </c>
      <c r="AM13" s="74">
        <f t="shared" si="4"/>
        <v>56</v>
      </c>
      <c r="AN13" s="74">
        <f>SUM(CountWeekendDays(E10)+COUNTIF(E13:AI13,"С"))</f>
        <v>10</v>
      </c>
      <c r="AO13" s="77">
        <f t="shared" si="5"/>
        <v>168</v>
      </c>
      <c r="AP13" s="88">
        <f>(DAY(EOMONTH(E10, 0)) - AN13 - AK13) * AU13  * D13</f>
        <v>168</v>
      </c>
      <c r="AQ13" s="89">
        <f t="shared" si="13"/>
        <v>0</v>
      </c>
      <c r="AR13" s="90" t="e">
        <f t="shared" ref="AR13:AR32" si="46">AQ13/(AJ13-(AM13/4))</f>
        <v>#DIV/0!</v>
      </c>
      <c r="AS13" s="121">
        <v>0.33333333333333331</v>
      </c>
      <c r="AU13" s="28">
        <f t="shared" si="6"/>
        <v>8</v>
      </c>
      <c r="AV13" s="28" t="s">
        <v>32</v>
      </c>
      <c r="AW13" s="27"/>
      <c r="AX13" s="115"/>
      <c r="BA13" s="104">
        <f t="shared" si="7"/>
        <v>3</v>
      </c>
      <c r="BB13" s="105" t="str">
        <f t="shared" si="8"/>
        <v>Зарицька  І.І.</v>
      </c>
      <c r="BC13" s="95" t="str">
        <f t="shared" si="9"/>
        <v>молодша м/с</v>
      </c>
      <c r="BD13" s="118" t="str">
        <f>IF(ISNUMBER(E13),
IF(IsBold(E13), TIME(0,0,0),
IF(E13&gt;8, TIME(23,0,0) - (E13 - 1)/24, AS13)), "")</f>
        <v/>
      </c>
      <c r="BE13" s="78" t="str">
        <f t="shared" si="14"/>
        <v/>
      </c>
      <c r="BF13" s="78" t="str">
        <f>IF(ISNUMBER(F13),
IF(IsBold(F13), TIME(0,0,0),
IF(F13&gt;8, TIME(23,0,0) - (F13 - 1)/24, AS13)), "")</f>
        <v/>
      </c>
      <c r="BG13" s="78" t="str">
        <f t="shared" si="15"/>
        <v/>
      </c>
      <c r="BH13" s="78">
        <f>IF(ISNUMBER(G13),
IF(IsBold(G13), TIME(0,0,0),
IF(G13&gt;8, TIME(23,0,0) - (G13 - 1)/24, AS13)), "")</f>
        <v>0.33333333333333337</v>
      </c>
      <c r="BI13" s="78">
        <f t="shared" si="16"/>
        <v>1</v>
      </c>
      <c r="BJ13" s="78">
        <f>IF(ISNUMBER(H13),
IF(IsBold(H13), TIME(0,0,0),
IF(H13&gt;8, TIME(23,0,0) - (H13 - 1)/24, AS13)), "")</f>
        <v>0</v>
      </c>
      <c r="BK13" s="78">
        <f t="shared" si="17"/>
        <v>0.33333333333333331</v>
      </c>
      <c r="BL13" s="78" t="str">
        <f>IF(ISNUMBER(I13),
IF(IsBold(I13), TIME(0,0,0),
IF(I13&gt;8, TIME(23,0,0) - (I13 - 1)/24, AS13)), "")</f>
        <v/>
      </c>
      <c r="BM13" s="78" t="str">
        <f t="shared" si="18"/>
        <v/>
      </c>
      <c r="BN13" s="78" t="str">
        <f>IF(ISNUMBER(J13),
IF(IsBold(J13), TIME(0,0,0),
IF(J13&gt;8, TIME(23,0,0) - (J13 - 1)/24, AS13)), "")</f>
        <v/>
      </c>
      <c r="BO13" s="78" t="str">
        <f t="shared" si="19"/>
        <v/>
      </c>
      <c r="BP13" s="78">
        <f>IF(ISNUMBER(K13),
IF(IsBold(K13), TIME(0,0,0),
IF(K13&gt;8, TIME(23,0,0) - (K13 - 1)/24, AS13)), "")</f>
        <v>0.33333333333333337</v>
      </c>
      <c r="BQ13" s="78">
        <f t="shared" si="20"/>
        <v>1</v>
      </c>
      <c r="BR13" s="78">
        <f>IF(ISNUMBER(L13),
IF(IsBold(L13), TIME(0,0,0),
IF(L13&gt;8, TIME(23,0,0) - (L13 - 1)/24, AS13)), "")</f>
        <v>0</v>
      </c>
      <c r="BS13" s="78">
        <f t="shared" si="21"/>
        <v>0.33333333333333331</v>
      </c>
      <c r="BT13" s="78" t="str">
        <f>IF(ISNUMBER(M13),
IF(IsBold(M13), TIME(0,0,0),
IF(M13&gt;8, TIME(23,0,0) - (M13 - 1)/24, AS13)), "")</f>
        <v/>
      </c>
      <c r="BU13" s="78" t="str">
        <f t="shared" si="22"/>
        <v/>
      </c>
      <c r="BV13" s="78" t="str">
        <f>IF(ISNUMBER(N13),
IF(IsBold(N13), TIME(0,0,0),
IF(N13&gt;8, TIME(23,0,0) - (N13 - 1)/24, AS13)), "")</f>
        <v/>
      </c>
      <c r="BW13" s="78" t="str">
        <f t="shared" si="23"/>
        <v/>
      </c>
      <c r="BX13" s="78">
        <f>IF(ISNUMBER(O13),
IF(IsBold(O13), TIME(0,0,0),
IF(O13&gt;8, TIME(23,0,0) - (O13 - 1)/24, AS13)), "")</f>
        <v>0.33333333333333337</v>
      </c>
      <c r="BY13" s="78">
        <f t="shared" si="24"/>
        <v>1</v>
      </c>
      <c r="BZ13" s="78">
        <f>IF(ISNUMBER(P13),
IF(IsBold(P13), TIME(0,0,0),
IF(P13&gt;8, TIME(23,0,0) - (P13 - 1)/24, AS13)), "")</f>
        <v>0</v>
      </c>
      <c r="CA13" s="78">
        <f t="shared" si="25"/>
        <v>0.33333333333333331</v>
      </c>
      <c r="CB13" s="78" t="str">
        <f>IF(ISNUMBER(Q13),
IF(IsBold(Q13), TIME(0,0,0),
IF(Q13&gt;8, TIME(23,0,0) - (Q13 - 1)/24, AS13)), "")</f>
        <v/>
      </c>
      <c r="CC13" s="78" t="str">
        <f t="shared" si="26"/>
        <v/>
      </c>
      <c r="CD13" s="78" t="str">
        <f>IF(ISNUMBER(R13),
IF(IsBold(R13), TIME(0,0,0),
IF(R13&gt;8, TIME(23,0,0) - (R13 - 1)/24, AS13)), "")</f>
        <v/>
      </c>
      <c r="CE13" s="78" t="str">
        <f t="shared" si="27"/>
        <v/>
      </c>
      <c r="CF13" s="78" t="str">
        <f>IF(ISNUMBER(S13),
IF(IsBold(S13), TIME(0,0,0),
IF(S13&gt;8, TIME(23,0,0) - (S13 - 1)/24, AS13)), "")</f>
        <v/>
      </c>
      <c r="CG13" s="99" t="str">
        <f t="shared" si="28"/>
        <v/>
      </c>
      <c r="CM13" s="104">
        <f t="shared" si="10"/>
        <v>3</v>
      </c>
      <c r="CN13" s="106" t="str">
        <f t="shared" si="11"/>
        <v>Зарицька  І.І.</v>
      </c>
      <c r="CO13" s="95" t="str">
        <f t="shared" si="12"/>
        <v>молодша м/с</v>
      </c>
      <c r="CP13" s="123">
        <f>IF(ISNUMBER(T13),
IF(IsBold(T13), TIME(0,0,0),
IF(T13&gt;8, TIME(23,0,0) - (T13 - 1)/24, AS13)), "")</f>
        <v>0.33333333333333337</v>
      </c>
      <c r="CQ13" s="124">
        <f t="shared" si="29"/>
        <v>1</v>
      </c>
      <c r="CR13" s="124">
        <f>IF(ISNUMBER(U13),
IF(IsBold(U13), TIME(0,0,0),
IF(U13&gt;8, TIME(23,0,0) - (U13 - 1)/24, AS13)), "")</f>
        <v>0</v>
      </c>
      <c r="CS13" s="124">
        <f t="shared" si="30"/>
        <v>0.33333333333333331</v>
      </c>
      <c r="CT13" s="124" t="str">
        <f>IF(ISNUMBER(V13),
IF(IsBold(V13), TIME(0,0,0),
IF(V13&gt;8, TIME(23,0,0) - (V13 - 1)/24, AS13)), "")</f>
        <v/>
      </c>
      <c r="CU13" s="124" t="str">
        <f t="shared" si="31"/>
        <v/>
      </c>
      <c r="CV13" s="124">
        <f>IF(ISNUMBER(W13),
IF(IsBold(W13), TIME(0,0,0),
IF(W13&gt;8, TIME(23,0,0) - (W13 - 1)/24, AS13)), "")</f>
        <v>0.33333333333333337</v>
      </c>
      <c r="CW13" s="124">
        <f t="shared" si="32"/>
        <v>1</v>
      </c>
      <c r="CX13" s="124">
        <f>IF(ISNUMBER(X13),
IF(IsBold(X13), TIME(0,0,0),
IF(X13&gt;8, TIME(23,0,0) - (X13 - 1)/24, AS13)), "")</f>
        <v>0</v>
      </c>
      <c r="CY13" s="124">
        <f t="shared" si="33"/>
        <v>0.33333333333333331</v>
      </c>
      <c r="CZ13" s="124" t="str">
        <f>IF(ISNUMBER(Y13),
IF(IsBold(Y13), TIME(0,0,0),
IF(Y13&gt;8, TIME(23,0,0) - (Y13 - 1)/24, AS13)), "")</f>
        <v/>
      </c>
      <c r="DA13" s="124" t="str">
        <f t="shared" si="34"/>
        <v/>
      </c>
      <c r="DB13" s="124" t="str">
        <f>IF(ISNUMBER(Z13),
IF(IsBold(Z13), TIME(0,0,0),
IF(Z13&gt;8, TIME(23,0,0) - (Z13 - 1)/24, AS13)), "")</f>
        <v/>
      </c>
      <c r="DC13" s="124" t="str">
        <f t="shared" si="35"/>
        <v/>
      </c>
      <c r="DD13" s="124">
        <f>IF(ISNUMBER(AA13),
IF(IsBold(AA13), TIME(0,0,0),
IF(AA13&gt;8, TIME(23,0,0) - (AA13 - 1)/24, AS13)), "")</f>
        <v>0.33333333333333337</v>
      </c>
      <c r="DE13" s="124">
        <f t="shared" si="36"/>
        <v>1</v>
      </c>
      <c r="DF13" s="124">
        <f>IF(ISNUMBER(AB13),
IF(IsBold(AB13), TIME(0,0,0),
IF(AB13&gt;8, TIME(23,0,0) - (AB13 - 1)/24, AS13)), "")</f>
        <v>0</v>
      </c>
      <c r="DG13" s="124">
        <f t="shared" si="37"/>
        <v>0.33333333333333331</v>
      </c>
      <c r="DH13" s="124" t="str">
        <f>IF(ISNUMBER(AC13),
IF(IsBold(AC13), TIME(0,0,0),
IF(AC13&gt;8, TIME(23,0,0) - (AC13 - 1)/24, AS13)), "")</f>
        <v/>
      </c>
      <c r="DI13" s="124" t="str">
        <f t="shared" si="38"/>
        <v/>
      </c>
      <c r="DJ13" s="124" t="str">
        <f>IF(ISNUMBER(AD13),
IF(IsBold(AD13), TIME(0,0,0),
IF(AD13&gt;8, TIME(23,0,0) - (AD13 - 1)/24, AS13)), "")</f>
        <v/>
      </c>
      <c r="DK13" s="124" t="str">
        <f t="shared" si="39"/>
        <v/>
      </c>
      <c r="DL13" s="124">
        <f>IF(ISNUMBER(AE13),
IF(IsBold(AE13), TIME(0,0,0),
IF(AE13&gt;8, TIME(23,0,0) - (AE13 - 1)/24, AS13)), "")</f>
        <v>0.33333333333333337</v>
      </c>
      <c r="DM13" s="124">
        <f t="shared" si="40"/>
        <v>1</v>
      </c>
      <c r="DN13" s="124">
        <f>IF(ISNUMBER(AF13),
IF(IsBold(AF13), TIME(0,0,0),
IF(AF13&gt;8, TIME(23,0,0) - (AF13 - 1)/24, AS13)), "")</f>
        <v>0</v>
      </c>
      <c r="DO13" s="124">
        <f t="shared" si="41"/>
        <v>0.33333333333333331</v>
      </c>
      <c r="DP13" s="124" t="str">
        <f>IF(ISNUMBER(AG13),
IF(IsBold(AG13), TIME(0,0,0),
IF(AG13&gt;8, TIME(23,0,0) - (AG13 - 1)/24, AS13)), "")</f>
        <v/>
      </c>
      <c r="DQ13" s="124" t="str">
        <f t="shared" si="42"/>
        <v/>
      </c>
      <c r="DR13" s="124" t="str">
        <f>IF(ISNUMBER(AH13),
IF(IsBold(AH13), TIME(0,0,0),
IF(AH13&gt;8, TIME(23,0,0) - (AH13 - 1)/24, AS13)), "")</f>
        <v/>
      </c>
      <c r="DS13" s="124" t="str">
        <f t="shared" si="43"/>
        <v/>
      </c>
      <c r="DT13" s="124" t="str">
        <f>IF(ISNUMBER(AI13),
IF(IsBold(AI13), TIME(0,0,0),
IF(AI13&gt;8, TIME(23,0,0) - (AI13 - 1)/24, AS13)), "")</f>
        <v/>
      </c>
      <c r="DU13" s="125" t="str">
        <f t="shared" si="44"/>
        <v/>
      </c>
      <c r="DV13" s="112">
        <f t="shared" si="45"/>
        <v>168</v>
      </c>
    </row>
    <row r="14" spans="1:126" x14ac:dyDescent="0.3">
      <c r="A14" s="12">
        <v>4</v>
      </c>
      <c r="B14" s="59" t="s">
        <v>34</v>
      </c>
      <c r="C14" s="60" t="s">
        <v>19</v>
      </c>
      <c r="D14" s="61">
        <v>1</v>
      </c>
      <c r="E14" s="56"/>
      <c r="F14" s="56">
        <v>16</v>
      </c>
      <c r="G14" s="58">
        <v>8</v>
      </c>
      <c r="H14" s="58"/>
      <c r="I14" s="64"/>
      <c r="J14" s="62">
        <v>16</v>
      </c>
      <c r="K14" s="58">
        <v>8</v>
      </c>
      <c r="L14" s="58"/>
      <c r="M14" s="62">
        <v>16</v>
      </c>
      <c r="N14" s="58">
        <v>8</v>
      </c>
      <c r="O14" s="62"/>
      <c r="P14" s="58"/>
      <c r="Q14" s="62">
        <v>16</v>
      </c>
      <c r="R14" s="58">
        <v>8</v>
      </c>
      <c r="S14" s="62"/>
      <c r="T14" s="58"/>
      <c r="U14" s="62">
        <v>16</v>
      </c>
      <c r="V14" s="58">
        <v>8</v>
      </c>
      <c r="W14" s="56" t="s">
        <v>41</v>
      </c>
      <c r="X14" s="58"/>
      <c r="Y14" s="62">
        <v>16</v>
      </c>
      <c r="Z14" s="58">
        <v>8</v>
      </c>
      <c r="AA14" s="62"/>
      <c r="AB14" s="62"/>
      <c r="AC14" s="62"/>
      <c r="AD14" s="58"/>
      <c r="AE14" s="62"/>
      <c r="AF14" s="62">
        <v>9.6999999999999993</v>
      </c>
      <c r="AG14" s="58">
        <v>8</v>
      </c>
      <c r="AH14" s="56"/>
      <c r="AI14" s="56"/>
      <c r="AJ14" s="73">
        <f t="shared" si="1"/>
        <v>14</v>
      </c>
      <c r="AK14" s="74">
        <f t="shared" si="2"/>
        <v>0</v>
      </c>
      <c r="AL14" s="76">
        <f t="shared" si="3"/>
        <v>0</v>
      </c>
      <c r="AM14" s="74">
        <f t="shared" si="4"/>
        <v>56</v>
      </c>
      <c r="AN14" s="74">
        <f>SUM(CountWeekendDays(E10)+COUNTIF(E14:AI14,"С"))</f>
        <v>10</v>
      </c>
      <c r="AO14" s="77">
        <f t="shared" si="5"/>
        <v>161.69999999999999</v>
      </c>
      <c r="AP14" s="88">
        <f>(DAY(EOMONTH(E10, 0)) - AN14 - AK14) * AU14  * D14</f>
        <v>161.70000000000002</v>
      </c>
      <c r="AQ14" s="89">
        <f t="shared" si="13"/>
        <v>0</v>
      </c>
      <c r="AR14" s="90" t="e">
        <f t="shared" si="46"/>
        <v>#DIV/0!</v>
      </c>
      <c r="AS14" s="121">
        <v>0.33333333333333331</v>
      </c>
      <c r="AU14" s="28">
        <f t="shared" si="6"/>
        <v>7.7</v>
      </c>
      <c r="AV14" s="28" t="s">
        <v>23</v>
      </c>
      <c r="AW14" s="27"/>
      <c r="AX14" s="115"/>
      <c r="BA14" s="104">
        <f t="shared" si="7"/>
        <v>4</v>
      </c>
      <c r="BB14" s="105" t="str">
        <f t="shared" si="8"/>
        <v>Супронович Т.Ю.</v>
      </c>
      <c r="BC14" s="95" t="str">
        <f t="shared" si="9"/>
        <v>м/с стаціон.</v>
      </c>
      <c r="BD14" s="118" t="str">
        <f>IF(ISNUMBER(E14),
IF(IsBold(E14), TIME(0,0,0),
IF(E14&gt;8, TIME(23,0,0) - (E14 - 1)/24, AS14)), "")</f>
        <v/>
      </c>
      <c r="BE14" s="78" t="str">
        <f t="shared" si="14"/>
        <v/>
      </c>
      <c r="BF14" s="78">
        <f>IF(ISNUMBER(F14),
IF(IsBold(F14), TIME(0,0,0),
IF(F14&gt;8, TIME(23,0,0) - (F14 - 1)/24, AS14)), "")</f>
        <v>0.33333333333333337</v>
      </c>
      <c r="BG14" s="78">
        <f t="shared" si="15"/>
        <v>1</v>
      </c>
      <c r="BH14" s="78">
        <f>IF(ISNUMBER(G14),
IF(IsBold(G14), TIME(0,0,0),
IF(G14&gt;8, TIME(23,0,0) - (G14 - 1)/24, AS14)), "")</f>
        <v>0</v>
      </c>
      <c r="BI14" s="78">
        <f t="shared" si="16"/>
        <v>0.33333333333333331</v>
      </c>
      <c r="BJ14" s="78" t="str">
        <f>IF(ISNUMBER(H14),
IF(IsBold(H14), TIME(0,0,0),
IF(H14&gt;8, TIME(23,0,0) - (H14 - 1)/24, AS14)), "")</f>
        <v/>
      </c>
      <c r="BK14" s="78" t="str">
        <f t="shared" si="17"/>
        <v/>
      </c>
      <c r="BL14" s="78" t="str">
        <f>IF(ISNUMBER(I14),
IF(IsBold(I14), TIME(0,0,0),
IF(I14&gt;8, TIME(23,0,0) - (I14 - 1)/24, AS14)), "")</f>
        <v/>
      </c>
      <c r="BM14" s="78" t="str">
        <f t="shared" si="18"/>
        <v/>
      </c>
      <c r="BN14" s="78">
        <f>IF(ISNUMBER(J14),
IF(IsBold(J14), TIME(0,0,0),
IF(J14&gt;8, TIME(23,0,0) - (J14 - 1)/24, AS14)), "")</f>
        <v>0.33333333333333337</v>
      </c>
      <c r="BO14" s="78">
        <f t="shared" si="19"/>
        <v>1</v>
      </c>
      <c r="BP14" s="78">
        <f>IF(ISNUMBER(K14),
IF(IsBold(K14), TIME(0,0,0),
IF(K14&gt;8, TIME(23,0,0) - (K14 - 1)/24, AS14)), "")</f>
        <v>0</v>
      </c>
      <c r="BQ14" s="78">
        <f t="shared" si="20"/>
        <v>0.33333333333333331</v>
      </c>
      <c r="BR14" s="78" t="str">
        <f>IF(ISNUMBER(L14),
IF(IsBold(L14), TIME(0,0,0),
IF(L14&gt;8, TIME(23,0,0) - (L14 - 1)/24, AS14)), "")</f>
        <v/>
      </c>
      <c r="BS14" s="78" t="str">
        <f t="shared" si="21"/>
        <v/>
      </c>
      <c r="BT14" s="78">
        <f>IF(ISNUMBER(M14),
IF(IsBold(M14), TIME(0,0,0),
IF(M14&gt;8, TIME(23,0,0) - (M14 - 1)/24, AS14)), "")</f>
        <v>0.33333333333333337</v>
      </c>
      <c r="BU14" s="78">
        <f t="shared" si="22"/>
        <v>1</v>
      </c>
      <c r="BV14" s="78">
        <f>IF(ISNUMBER(N14),
IF(IsBold(N14), TIME(0,0,0),
IF(N14&gt;8, TIME(23,0,0) - (N14 - 1)/24, AS14)), "")</f>
        <v>0</v>
      </c>
      <c r="BW14" s="78">
        <f t="shared" si="23"/>
        <v>0.33333333333333331</v>
      </c>
      <c r="BX14" s="78" t="str">
        <f>IF(ISNUMBER(O14),
IF(IsBold(O14), TIME(0,0,0),
IF(O14&gt;8, TIME(23,0,0) - (O14 - 1)/24, AS14)), "")</f>
        <v/>
      </c>
      <c r="BY14" s="78" t="str">
        <f t="shared" si="24"/>
        <v/>
      </c>
      <c r="BZ14" s="78" t="str">
        <f>IF(ISNUMBER(P14),
IF(IsBold(P14), TIME(0,0,0),
IF(P14&gt;8, TIME(23,0,0) - (P14 - 1)/24, AS14)), "")</f>
        <v/>
      </c>
      <c r="CA14" s="78" t="str">
        <f t="shared" si="25"/>
        <v/>
      </c>
      <c r="CB14" s="78">
        <f>IF(ISNUMBER(Q14),
IF(IsBold(Q14), TIME(0,0,0),
IF(Q14&gt;8, TIME(23,0,0) - (Q14 - 1)/24, AS14)), "")</f>
        <v>0.33333333333333337</v>
      </c>
      <c r="CC14" s="78">
        <f t="shared" si="26"/>
        <v>1</v>
      </c>
      <c r="CD14" s="78">
        <f>IF(ISNUMBER(R14),
IF(IsBold(R14), TIME(0,0,0),
IF(R14&gt;8, TIME(23,0,0) - (R14 - 1)/24, AS14)), "")</f>
        <v>0</v>
      </c>
      <c r="CE14" s="78">
        <f t="shared" si="27"/>
        <v>0.33333333333333331</v>
      </c>
      <c r="CF14" s="78" t="str">
        <f>IF(ISNUMBER(S14),
IF(IsBold(S14), TIME(0,0,0),
IF(S14&gt;8, TIME(23,0,0) - (S14 - 1)/24, AS14)), "")</f>
        <v/>
      </c>
      <c r="CG14" s="99" t="str">
        <f t="shared" si="28"/>
        <v/>
      </c>
      <c r="CM14" s="104">
        <f t="shared" si="10"/>
        <v>4</v>
      </c>
      <c r="CN14" s="106" t="str">
        <f t="shared" si="11"/>
        <v>Супронович Т.Ю.</v>
      </c>
      <c r="CO14" s="95" t="str">
        <f t="shared" si="12"/>
        <v>м/с стаціон.</v>
      </c>
      <c r="CP14" s="123" t="str">
        <f>IF(ISNUMBER(T14),
IF(IsBold(T14), TIME(0,0,0),
IF(T14&gt;8, TIME(23,0,0) - (T14 - 1)/24, AS14)), "")</f>
        <v/>
      </c>
      <c r="CQ14" s="124" t="str">
        <f t="shared" si="29"/>
        <v/>
      </c>
      <c r="CR14" s="124">
        <f>IF(ISNUMBER(U14),
IF(IsBold(U14), TIME(0,0,0),
IF(U14&gt;8, TIME(23,0,0) - (U14 - 1)/24, AS14)), "")</f>
        <v>0.33333333333333337</v>
      </c>
      <c r="CS14" s="124">
        <f t="shared" si="30"/>
        <v>1</v>
      </c>
      <c r="CT14" s="124">
        <f>IF(ISNUMBER(V14),
IF(IsBold(V14), TIME(0,0,0),
IF(V14&gt;8, TIME(23,0,0) - (V14 - 1)/24, AS14)), "")</f>
        <v>0</v>
      </c>
      <c r="CU14" s="124">
        <f t="shared" si="31"/>
        <v>0.33333333333333331</v>
      </c>
      <c r="CV14" s="124" t="str">
        <f>IF(ISNUMBER(W14),
IF(IsBold(W14), TIME(0,0,0),
IF(W14&gt;8, TIME(23,0,0) - (W14 - 1)/24, AS14)), "")</f>
        <v/>
      </c>
      <c r="CW14" s="124" t="str">
        <f t="shared" si="32"/>
        <v/>
      </c>
      <c r="CX14" s="124" t="str">
        <f>IF(ISNUMBER(X14),
IF(IsBold(X14), TIME(0,0,0),
IF(X14&gt;8, TIME(23,0,0) - (X14 - 1)/24, AS14)), "")</f>
        <v/>
      </c>
      <c r="CY14" s="124" t="str">
        <f t="shared" si="33"/>
        <v/>
      </c>
      <c r="CZ14" s="124">
        <f>IF(ISNUMBER(Y14),
IF(IsBold(Y14), TIME(0,0,0),
IF(Y14&gt;8, TIME(23,0,0) - (Y14 - 1)/24, AS14)), "")</f>
        <v>0.33333333333333337</v>
      </c>
      <c r="DA14" s="124">
        <f t="shared" si="34"/>
        <v>1</v>
      </c>
      <c r="DB14" s="124">
        <f>IF(ISNUMBER(Z14),
IF(IsBold(Z14), TIME(0,0,0),
IF(Z14&gt;8, TIME(23,0,0) - (Z14 - 1)/24, AS14)), "")</f>
        <v>0</v>
      </c>
      <c r="DC14" s="124">
        <f t="shared" si="35"/>
        <v>0.33333333333333331</v>
      </c>
      <c r="DD14" s="124" t="str">
        <f>IF(ISNUMBER(AA14),
IF(IsBold(AA14), TIME(0,0,0),
IF(AA14&gt;8, TIME(23,0,0) - (AA14 - 1)/24, AS14)), "")</f>
        <v/>
      </c>
      <c r="DE14" s="124" t="str">
        <f t="shared" si="36"/>
        <v/>
      </c>
      <c r="DF14" s="124" t="str">
        <f>IF(ISNUMBER(AB14),
IF(IsBold(AB14), TIME(0,0,0),
IF(AB14&gt;8, TIME(23,0,0) - (AB14 - 1)/24, AS14)), "")</f>
        <v/>
      </c>
      <c r="DG14" s="124" t="str">
        <f t="shared" si="37"/>
        <v/>
      </c>
      <c r="DH14" s="124" t="str">
        <f>IF(ISNUMBER(AC14),
IF(IsBold(AC14), TIME(0,0,0),
IF(AC14&gt;8, TIME(23,0,0) - (AC14 - 1)/24, AS14)), "")</f>
        <v/>
      </c>
      <c r="DI14" s="124" t="str">
        <f t="shared" si="38"/>
        <v/>
      </c>
      <c r="DJ14" s="124" t="str">
        <f>IF(ISNUMBER(AD14),
IF(IsBold(AD14), TIME(0,0,0),
IF(AD14&gt;8, TIME(23,0,0) - (AD14 - 1)/24, AS14)), "")</f>
        <v/>
      </c>
      <c r="DK14" s="124" t="str">
        <f t="shared" si="39"/>
        <v/>
      </c>
      <c r="DL14" s="124" t="str">
        <f>IF(ISNUMBER(AE14),
IF(IsBold(AE14), TIME(0,0,0),
IF(AE14&gt;8, TIME(23,0,0) - (AE14 - 1)/24, AS14)), "")</f>
        <v/>
      </c>
      <c r="DM14" s="124" t="str">
        <f t="shared" si="40"/>
        <v/>
      </c>
      <c r="DN14" s="124">
        <f>IF(ISNUMBER(AF14),
IF(IsBold(AF14), TIME(0,0,0),
IF(AF14&gt;8, TIME(23,0,0) - (AF14 - 1)/24, AS14)), "")</f>
        <v>0.59583333333333344</v>
      </c>
      <c r="DO14" s="124">
        <f t="shared" si="41"/>
        <v>1</v>
      </c>
      <c r="DP14" s="124">
        <f>IF(ISNUMBER(AG14),
IF(IsBold(AG14), TIME(0,0,0),
IF(AG14&gt;8, TIME(23,0,0) - (AG14 - 1)/24, AS14)), "")</f>
        <v>0</v>
      </c>
      <c r="DQ14" s="124">
        <f t="shared" si="42"/>
        <v>0.33333333333333331</v>
      </c>
      <c r="DR14" s="124" t="str">
        <f>IF(ISNUMBER(AH14),
IF(IsBold(AH14), TIME(0,0,0),
IF(AH14&gt;8, TIME(23,0,0) - (AH14 - 1)/24, AS14)), "")</f>
        <v/>
      </c>
      <c r="DS14" s="124" t="str">
        <f t="shared" si="43"/>
        <v/>
      </c>
      <c r="DT14" s="124" t="str">
        <f>IF(ISNUMBER(AI14),
IF(IsBold(AI14), TIME(0,0,0),
IF(AI14&gt;8, TIME(23,0,0) - (AI14 - 1)/24, AS14)), "")</f>
        <v/>
      </c>
      <c r="DU14" s="125" t="str">
        <f t="shared" si="44"/>
        <v/>
      </c>
      <c r="DV14" s="112">
        <f t="shared" si="45"/>
        <v>161.69999999999999</v>
      </c>
    </row>
    <row r="15" spans="1:126" x14ac:dyDescent="0.3">
      <c r="A15" s="12">
        <v>5</v>
      </c>
      <c r="B15" s="59" t="s">
        <v>51</v>
      </c>
      <c r="C15" s="60" t="s">
        <v>11</v>
      </c>
      <c r="D15" s="61">
        <v>0.5</v>
      </c>
      <c r="E15" s="56" t="s">
        <v>26</v>
      </c>
      <c r="F15" s="64">
        <v>3.85</v>
      </c>
      <c r="G15" s="64">
        <v>3.85</v>
      </c>
      <c r="H15" s="64">
        <v>3.85</v>
      </c>
      <c r="I15" s="64">
        <v>3.85</v>
      </c>
      <c r="J15" s="64">
        <v>3.85</v>
      </c>
      <c r="K15" s="56"/>
      <c r="L15" s="56"/>
      <c r="M15" s="64">
        <v>3.85</v>
      </c>
      <c r="N15" s="64">
        <v>3.85</v>
      </c>
      <c r="O15" s="64">
        <v>3.85</v>
      </c>
      <c r="P15" s="64">
        <v>3.85</v>
      </c>
      <c r="Q15" s="64">
        <v>3.85</v>
      </c>
      <c r="R15" s="56"/>
      <c r="S15" s="56"/>
      <c r="T15" s="64">
        <v>3.85</v>
      </c>
      <c r="U15" s="64">
        <v>3.85</v>
      </c>
      <c r="V15" s="56" t="s">
        <v>41</v>
      </c>
      <c r="W15" s="64">
        <v>3.85</v>
      </c>
      <c r="X15" s="64">
        <v>3.85</v>
      </c>
      <c r="Y15" s="56"/>
      <c r="Z15" s="56"/>
      <c r="AA15" s="64">
        <v>3.85</v>
      </c>
      <c r="AB15" s="64">
        <v>3.85</v>
      </c>
      <c r="AC15" s="64">
        <v>3.85</v>
      </c>
      <c r="AD15" s="64">
        <v>3.85</v>
      </c>
      <c r="AE15" s="64">
        <v>3.85</v>
      </c>
      <c r="AF15" s="56"/>
      <c r="AG15" s="56"/>
      <c r="AH15" s="64">
        <v>3.85</v>
      </c>
      <c r="AI15" s="64">
        <v>3.85</v>
      </c>
      <c r="AJ15" s="73">
        <f t="shared" si="1"/>
        <v>21</v>
      </c>
      <c r="AK15" s="74">
        <f t="shared" si="2"/>
        <v>0</v>
      </c>
      <c r="AL15" s="76">
        <f t="shared" si="3"/>
        <v>0</v>
      </c>
      <c r="AM15" s="74">
        <f t="shared" si="4"/>
        <v>0</v>
      </c>
      <c r="AN15" s="74">
        <f>SUM(CountWeekendDays(E10)+COUNTIF(E15:AI15,"С"))</f>
        <v>10</v>
      </c>
      <c r="AO15" s="77">
        <f t="shared" si="5"/>
        <v>80.849999999999994</v>
      </c>
      <c r="AP15" s="88">
        <f>(DAY(EOMONTH(E10, 0)) - AN15 - AK15) * AU15  * D15</f>
        <v>80.850000000000009</v>
      </c>
      <c r="AQ15" s="89">
        <f t="shared" ref="AQ15" si="47">AP15 - AO15</f>
        <v>0</v>
      </c>
      <c r="AR15" s="90">
        <f t="shared" si="46"/>
        <v>0</v>
      </c>
      <c r="AS15" s="121">
        <v>0.55555555555555558</v>
      </c>
      <c r="AT15" s="116"/>
      <c r="AU15" s="28">
        <f t="shared" si="6"/>
        <v>7.7</v>
      </c>
      <c r="AV15" s="28" t="s">
        <v>24</v>
      </c>
      <c r="AW15" s="27"/>
      <c r="AX15" s="115"/>
      <c r="BA15" s="104">
        <f t="shared" si="7"/>
        <v>5</v>
      </c>
      <c r="BB15" s="105" t="str">
        <f t="shared" si="8"/>
        <v>Зварич П.П.</v>
      </c>
      <c r="BC15" s="95" t="str">
        <f t="shared" si="9"/>
        <v>лікар-онколог</v>
      </c>
      <c r="BD15" s="118" t="str">
        <f>IF(ISNUMBER(E15),
IF(IsBold(E15), TIME(0,0,0),
IF(E15&gt;8, TIME(23,0,0) - (E15 - 1)/24, AS15)), "")</f>
        <v/>
      </c>
      <c r="BE15" s="78" t="str">
        <f t="shared" si="14"/>
        <v/>
      </c>
      <c r="BF15" s="78">
        <f>IF(ISNUMBER(F15),
IF(IsBold(F15), TIME(0,0,0),
IF(F15&gt;8, TIME(23,0,0) - (F15 - 1)/24, AS15)), "")</f>
        <v>0.55555555555555558</v>
      </c>
      <c r="BG15" s="78">
        <f t="shared" si="15"/>
        <v>0.71597222222222223</v>
      </c>
      <c r="BH15" s="78">
        <f>IF(ISNUMBER(G15),
IF(IsBold(G15), TIME(0,0,0),
IF(G15&gt;8, TIME(23,0,0) - (G15 - 1)/24, AS15)), "")</f>
        <v>0.55555555555555558</v>
      </c>
      <c r="BI15" s="78">
        <f t="shared" si="16"/>
        <v>0.71597222222222223</v>
      </c>
      <c r="BJ15" s="78">
        <f>IF(ISNUMBER(H15),
IF(IsBold(H15), TIME(0,0,0),
IF(H15&gt;8, TIME(23,0,0) - (H15 - 1)/24, AS15)), "")</f>
        <v>0.55555555555555558</v>
      </c>
      <c r="BK15" s="78">
        <f t="shared" si="17"/>
        <v>0.71597222222222223</v>
      </c>
      <c r="BL15" s="78">
        <f>IF(ISNUMBER(I15),
IF(IsBold(I15), TIME(0,0,0),
IF(I15&gt;8, TIME(23,0,0) - (I15 - 1)/24, AS15)), "")</f>
        <v>0.55555555555555558</v>
      </c>
      <c r="BM15" s="78">
        <f t="shared" si="18"/>
        <v>0.71597222222222223</v>
      </c>
      <c r="BN15" s="78">
        <f>IF(ISNUMBER(J15),
IF(IsBold(J15), TIME(0,0,0),
IF(J15&gt;8, TIME(23,0,0) - (J15 - 1)/24, AS15)), "")</f>
        <v>0.55555555555555558</v>
      </c>
      <c r="BO15" s="78">
        <f t="shared" si="19"/>
        <v>0.71597222222222223</v>
      </c>
      <c r="BP15" s="78" t="str">
        <f>IF(ISNUMBER(K15),
IF(IsBold(K15), TIME(0,0,0),
IF(K15&gt;8, TIME(23,0,0) - (K15 - 1)/24, AS15)), "")</f>
        <v/>
      </c>
      <c r="BQ15" s="78" t="str">
        <f t="shared" si="20"/>
        <v/>
      </c>
      <c r="BR15" s="78" t="str">
        <f>IF(ISNUMBER(L15),
IF(IsBold(L15), TIME(0,0,0),
IF(L15&gt;8, TIME(23,0,0) - (L15 - 1)/24, AS15)), "")</f>
        <v/>
      </c>
      <c r="BS15" s="78" t="str">
        <f t="shared" si="21"/>
        <v/>
      </c>
      <c r="BT15" s="78">
        <f>IF(ISNUMBER(M15),
IF(IsBold(M15), TIME(0,0,0),
IF(M15&gt;8, TIME(23,0,0) - (M15 - 1)/24, AS15)), "")</f>
        <v>0.55555555555555558</v>
      </c>
      <c r="BU15" s="78">
        <f t="shared" si="22"/>
        <v>0.71597222222222223</v>
      </c>
      <c r="BV15" s="78">
        <f>IF(ISNUMBER(N15),
IF(IsBold(N15), TIME(0,0,0),
IF(N15&gt;8, TIME(23,0,0) - (N15 - 1)/24, AS15)), "")</f>
        <v>0.55555555555555558</v>
      </c>
      <c r="BW15" s="78">
        <f t="shared" si="23"/>
        <v>0.71597222222222223</v>
      </c>
      <c r="BX15" s="78">
        <f>IF(ISNUMBER(O15),
IF(IsBold(O15), TIME(0,0,0),
IF(O15&gt;8, TIME(23,0,0) - (O15 - 1)/24, AS15)), "")</f>
        <v>0.55555555555555558</v>
      </c>
      <c r="BY15" s="78">
        <f t="shared" si="24"/>
        <v>0.71597222222222223</v>
      </c>
      <c r="BZ15" s="78">
        <f>IF(ISNUMBER(P15),
IF(IsBold(P15), TIME(0,0,0),
IF(P15&gt;8, TIME(23,0,0) - (P15 - 1)/24, AS15)), "")</f>
        <v>0.55555555555555558</v>
      </c>
      <c r="CA15" s="78">
        <f t="shared" si="25"/>
        <v>0.71597222222222223</v>
      </c>
      <c r="CB15" s="78">
        <f>IF(ISNUMBER(Q15),
IF(IsBold(Q15), TIME(0,0,0),
IF(Q15&gt;8, TIME(23,0,0) - (Q15 - 1)/24, AS15)), "")</f>
        <v>0.55555555555555558</v>
      </c>
      <c r="CC15" s="78">
        <f t="shared" si="26"/>
        <v>0.71597222222222223</v>
      </c>
      <c r="CD15" s="78" t="str">
        <f>IF(ISNUMBER(R15),
IF(IsBold(R15), TIME(0,0,0),
IF(R15&gt;8, TIME(23,0,0) - (R15 - 1)/24, AS15)), "")</f>
        <v/>
      </c>
      <c r="CE15" s="78" t="str">
        <f t="shared" si="27"/>
        <v/>
      </c>
      <c r="CF15" s="78" t="str">
        <f>IF(ISNUMBER(S15),
IF(IsBold(S15), TIME(0,0,0),
IF(S15&gt;8, TIME(23,0,0) - (S15 - 1)/24, AS15)), "")</f>
        <v/>
      </c>
      <c r="CG15" s="99" t="str">
        <f t="shared" si="28"/>
        <v/>
      </c>
      <c r="CM15" s="104">
        <f t="shared" si="10"/>
        <v>5</v>
      </c>
      <c r="CN15" s="106" t="str">
        <f t="shared" si="11"/>
        <v>Зварич П.П.</v>
      </c>
      <c r="CO15" s="95" t="str">
        <f t="shared" si="12"/>
        <v>лікар-онколог</v>
      </c>
      <c r="CP15" s="123">
        <f>IF(ISNUMBER(T15),
IF(IsBold(T15), TIME(0,0,0),
IF(T15&gt;8, TIME(23,0,0) - (T15 - 1)/24, AS15)), "")</f>
        <v>0.55555555555555558</v>
      </c>
      <c r="CQ15" s="124">
        <f t="shared" si="29"/>
        <v>0.71597222222222223</v>
      </c>
      <c r="CR15" s="124">
        <f>IF(ISNUMBER(U15),
IF(IsBold(U15), TIME(0,0,0),
IF(U15&gt;8, TIME(23,0,0) - (U15 - 1)/24, AS15)), "")</f>
        <v>0.55555555555555558</v>
      </c>
      <c r="CS15" s="124">
        <f t="shared" si="30"/>
        <v>0.71597222222222223</v>
      </c>
      <c r="CT15" s="124" t="str">
        <f>IF(ISNUMBER(V15),
IF(IsBold(V15), TIME(0,0,0),
IF(V15&gt;8, TIME(23,0,0) - (V15 - 1)/24, AS15)), "")</f>
        <v/>
      </c>
      <c r="CU15" s="124" t="str">
        <f t="shared" si="31"/>
        <v/>
      </c>
      <c r="CV15" s="124">
        <f>IF(ISNUMBER(W15),
IF(IsBold(W15), TIME(0,0,0),
IF(W15&gt;8, TIME(23,0,0) - (W15 - 1)/24, AS15)), "")</f>
        <v>0.55555555555555558</v>
      </c>
      <c r="CW15" s="124">
        <f t="shared" si="32"/>
        <v>0.71597222222222223</v>
      </c>
      <c r="CX15" s="124">
        <f>IF(ISNUMBER(X15),
IF(IsBold(X15), TIME(0,0,0),
IF(X15&gt;8, TIME(23,0,0) - (X15 - 1)/24, AS15)), "")</f>
        <v>0.55555555555555558</v>
      </c>
      <c r="CY15" s="124">
        <f t="shared" si="33"/>
        <v>0.71597222222222223</v>
      </c>
      <c r="CZ15" s="124" t="str">
        <f>IF(ISNUMBER(Y15),
IF(IsBold(Y15), TIME(0,0,0),
IF(Y15&gt;8, TIME(23,0,0) - (Y15 - 1)/24, AS15)), "")</f>
        <v/>
      </c>
      <c r="DA15" s="124" t="str">
        <f t="shared" si="34"/>
        <v/>
      </c>
      <c r="DB15" s="124" t="str">
        <f>IF(ISNUMBER(Z15),
IF(IsBold(Z15), TIME(0,0,0),
IF(Z15&gt;8, TIME(23,0,0) - (Z15 - 1)/24, AS15)), "")</f>
        <v/>
      </c>
      <c r="DC15" s="124" t="str">
        <f t="shared" si="35"/>
        <v/>
      </c>
      <c r="DD15" s="124">
        <f>IF(ISNUMBER(AA15),
IF(IsBold(AA15), TIME(0,0,0),
IF(AA15&gt;8, TIME(23,0,0) - (AA15 - 1)/24, AS15)), "")</f>
        <v>0.55555555555555558</v>
      </c>
      <c r="DE15" s="124">
        <f t="shared" si="36"/>
        <v>0.71597222222222223</v>
      </c>
      <c r="DF15" s="124">
        <f>IF(ISNUMBER(AB15),
IF(IsBold(AB15), TIME(0,0,0),
IF(AB15&gt;8, TIME(23,0,0) - (AB15 - 1)/24, AS15)), "")</f>
        <v>0.55555555555555558</v>
      </c>
      <c r="DG15" s="124">
        <f t="shared" si="37"/>
        <v>0.71597222222222223</v>
      </c>
      <c r="DH15" s="124">
        <f>IF(ISNUMBER(AC15),
IF(IsBold(AC15), TIME(0,0,0),
IF(AC15&gt;8, TIME(23,0,0) - (AC15 - 1)/24, AS15)), "")</f>
        <v>0.55555555555555558</v>
      </c>
      <c r="DI15" s="124">
        <f t="shared" si="38"/>
        <v>0.71597222222222223</v>
      </c>
      <c r="DJ15" s="124">
        <f>IF(ISNUMBER(AD15),
IF(IsBold(AD15), TIME(0,0,0),
IF(AD15&gt;8, TIME(23,0,0) - (AD15 - 1)/24, AS15)), "")</f>
        <v>0.55555555555555558</v>
      </c>
      <c r="DK15" s="124">
        <f t="shared" si="39"/>
        <v>0.71597222222222223</v>
      </c>
      <c r="DL15" s="124">
        <f>IF(ISNUMBER(AE15),
IF(IsBold(AE15), TIME(0,0,0),
IF(AE15&gt;8, TIME(23,0,0) - (AE15 - 1)/24, AS15)), "")</f>
        <v>0.55555555555555558</v>
      </c>
      <c r="DM15" s="124">
        <f t="shared" si="40"/>
        <v>0.71597222222222223</v>
      </c>
      <c r="DN15" s="124" t="str">
        <f>IF(ISNUMBER(AF15),
IF(IsBold(AF15), TIME(0,0,0),
IF(AF15&gt;8, TIME(23,0,0) - (AF15 - 1)/24, AS15)), "")</f>
        <v/>
      </c>
      <c r="DO15" s="124" t="str">
        <f t="shared" si="41"/>
        <v/>
      </c>
      <c r="DP15" s="124" t="str">
        <f>IF(ISNUMBER(AG15),
IF(IsBold(AG15), TIME(0,0,0),
IF(AG15&gt;8, TIME(23,0,0) - (AG15 - 1)/24, AS15)), "")</f>
        <v/>
      </c>
      <c r="DQ15" s="124" t="str">
        <f t="shared" si="42"/>
        <v/>
      </c>
      <c r="DR15" s="124">
        <f>IF(ISNUMBER(AH15),
IF(IsBold(AH15), TIME(0,0,0),
IF(AH15&gt;8, TIME(23,0,0) - (AH15 - 1)/24, AS15)), "")</f>
        <v>0.55555555555555558</v>
      </c>
      <c r="DS15" s="124">
        <f t="shared" si="43"/>
        <v>0.71597222222222223</v>
      </c>
      <c r="DT15" s="124">
        <f>IF(ISNUMBER(AI15),
IF(IsBold(AI15), TIME(0,0,0),
IF(AI15&gt;8, TIME(23,0,0) - (AI15 - 1)/24, AS15)), "")</f>
        <v>0.55555555555555558</v>
      </c>
      <c r="DU15" s="125">
        <f t="shared" si="44"/>
        <v>0.71597222222222223</v>
      </c>
      <c r="DV15" s="112">
        <f t="shared" si="45"/>
        <v>80.849999999999994</v>
      </c>
    </row>
    <row r="16" spans="1:126" x14ac:dyDescent="0.3">
      <c r="A16" s="12">
        <v>6</v>
      </c>
      <c r="B16" s="59" t="s">
        <v>52</v>
      </c>
      <c r="C16" s="60" t="s">
        <v>19</v>
      </c>
      <c r="D16" s="61">
        <v>1</v>
      </c>
      <c r="E16" s="56">
        <v>16</v>
      </c>
      <c r="F16" s="58">
        <v>8</v>
      </c>
      <c r="G16" s="66"/>
      <c r="H16" s="67"/>
      <c r="I16" s="56">
        <v>16</v>
      </c>
      <c r="J16" s="58">
        <v>8</v>
      </c>
      <c r="K16" s="66"/>
      <c r="L16" s="67"/>
      <c r="M16" s="56">
        <v>16</v>
      </c>
      <c r="N16" s="58">
        <v>8</v>
      </c>
      <c r="O16" s="66"/>
      <c r="P16" s="67"/>
      <c r="Q16" s="65">
        <v>5</v>
      </c>
      <c r="R16" s="65"/>
      <c r="S16" s="66"/>
      <c r="T16" s="56" t="s">
        <v>27</v>
      </c>
      <c r="U16" s="56" t="s">
        <v>27</v>
      </c>
      <c r="V16" s="56" t="s">
        <v>41</v>
      </c>
      <c r="W16" s="56" t="s">
        <v>27</v>
      </c>
      <c r="X16" s="56" t="s">
        <v>27</v>
      </c>
      <c r="Y16" s="56"/>
      <c r="Z16" s="56"/>
      <c r="AA16" s="56" t="s">
        <v>27</v>
      </c>
      <c r="AB16" s="56" t="s">
        <v>27</v>
      </c>
      <c r="AC16" s="56" t="s">
        <v>27</v>
      </c>
      <c r="AD16" s="56" t="s">
        <v>27</v>
      </c>
      <c r="AE16" s="56" t="s">
        <v>27</v>
      </c>
      <c r="AF16" s="56"/>
      <c r="AG16" s="56"/>
      <c r="AH16" s="56" t="s">
        <v>27</v>
      </c>
      <c r="AI16" s="56" t="s">
        <v>27</v>
      </c>
      <c r="AJ16" s="73">
        <f t="shared" si="1"/>
        <v>7</v>
      </c>
      <c r="AK16" s="74">
        <f t="shared" si="2"/>
        <v>11</v>
      </c>
      <c r="AL16" s="76">
        <f t="shared" si="3"/>
        <v>0</v>
      </c>
      <c r="AM16" s="74">
        <f t="shared" si="4"/>
        <v>24</v>
      </c>
      <c r="AN16" s="74">
        <f>SUM(CountWeekendDays(E10)+COUNTIF(E16:AI16,"С"))</f>
        <v>10</v>
      </c>
      <c r="AO16" s="77">
        <f t="shared" si="5"/>
        <v>77</v>
      </c>
      <c r="AP16" s="88">
        <f>(DAY(EOMONTH(E10, 0)) - AN16 - AK16) * AU16  * D16</f>
        <v>77</v>
      </c>
      <c r="AQ16" s="89">
        <f t="shared" ref="AQ16" si="48">AP16 - AO16</f>
        <v>0</v>
      </c>
      <c r="AR16" s="90">
        <f t="shared" si="46"/>
        <v>0</v>
      </c>
      <c r="AS16" s="121">
        <v>0.33333333333333331</v>
      </c>
      <c r="AT16" s="116"/>
      <c r="AU16" s="28">
        <f t="shared" si="6"/>
        <v>7.7</v>
      </c>
      <c r="AV16" s="27"/>
      <c r="AW16" s="27"/>
      <c r="BA16" s="104">
        <f t="shared" si="7"/>
        <v>6</v>
      </c>
      <c r="BB16" s="105" t="str">
        <f t="shared" si="8"/>
        <v>Кравецька С.Т.</v>
      </c>
      <c r="BC16" s="95" t="str">
        <f t="shared" si="9"/>
        <v>м/с стаціон.</v>
      </c>
      <c r="BD16" s="118">
        <f>IF(ISNUMBER(E16),
IF(IsBold(E16), TIME(0,0,0),
IF(E16&gt;8, TIME(23,0,0) - (E16 - 1)/24, AS16)), "")</f>
        <v>0.33333333333333337</v>
      </c>
      <c r="BE16" s="78">
        <f t="shared" si="14"/>
        <v>1</v>
      </c>
      <c r="BF16" s="78">
        <f>IF(ISNUMBER(F16),
IF(IsBold(F16), TIME(0,0,0),
IF(F16&gt;8, TIME(23,0,0) - (F16 - 1)/24, AS16)), "")</f>
        <v>0</v>
      </c>
      <c r="BG16" s="78">
        <f t="shared" si="15"/>
        <v>0.33333333333333331</v>
      </c>
      <c r="BH16" s="78" t="str">
        <f>IF(ISNUMBER(G16),
IF(IsBold(G16), TIME(0,0,0),
IF(G16&gt;8, TIME(23,0,0) - (G16 - 1)/24, AS16)), "")</f>
        <v/>
      </c>
      <c r="BI16" s="78" t="str">
        <f t="shared" si="16"/>
        <v/>
      </c>
      <c r="BJ16" s="78" t="str">
        <f>IF(ISNUMBER(H16),
IF(IsBold(H16), TIME(0,0,0),
IF(H16&gt;8, TIME(23,0,0) - (H16 - 1)/24, AS16)), "")</f>
        <v/>
      </c>
      <c r="BK16" s="78" t="str">
        <f t="shared" si="17"/>
        <v/>
      </c>
      <c r="BL16" s="78">
        <f>IF(ISNUMBER(I16),
IF(IsBold(I16), TIME(0,0,0),
IF(I16&gt;8, TIME(23,0,0) - (I16 - 1)/24, AS16)), "")</f>
        <v>0.33333333333333337</v>
      </c>
      <c r="BM16" s="78">
        <f t="shared" si="18"/>
        <v>1</v>
      </c>
      <c r="BN16" s="78">
        <f>IF(ISNUMBER(J16),
IF(IsBold(J16), TIME(0,0,0),
IF(J16&gt;8, TIME(23,0,0) - (J16 - 1)/24, AS16)), "")</f>
        <v>0</v>
      </c>
      <c r="BO16" s="78">
        <f t="shared" si="19"/>
        <v>0.33333333333333331</v>
      </c>
      <c r="BP16" s="78" t="str">
        <f>IF(ISNUMBER(K16),
IF(IsBold(K16), TIME(0,0,0),
IF(K16&gt;8, TIME(23,0,0) - (K16 - 1)/24, AS16)), "")</f>
        <v/>
      </c>
      <c r="BQ16" s="78" t="str">
        <f t="shared" si="20"/>
        <v/>
      </c>
      <c r="BR16" s="78" t="str">
        <f>IF(ISNUMBER(L16),
IF(IsBold(L16), TIME(0,0,0),
IF(L16&gt;8, TIME(23,0,0) - (L16 - 1)/24, AS16)), "")</f>
        <v/>
      </c>
      <c r="BS16" s="78" t="str">
        <f t="shared" si="21"/>
        <v/>
      </c>
      <c r="BT16" s="78">
        <f>IF(ISNUMBER(M16),
IF(IsBold(M16), TIME(0,0,0),
IF(M16&gt;8, TIME(23,0,0) - (M16 - 1)/24, AS16)), "")</f>
        <v>0.33333333333333337</v>
      </c>
      <c r="BU16" s="78">
        <f t="shared" si="22"/>
        <v>1</v>
      </c>
      <c r="BV16" s="78">
        <f>IF(ISNUMBER(N16),
IF(IsBold(N16), TIME(0,0,0),
IF(N16&gt;8, TIME(23,0,0) - (N16 - 1)/24, AS16)), "")</f>
        <v>0</v>
      </c>
      <c r="BW16" s="78">
        <f t="shared" si="23"/>
        <v>0.33333333333333331</v>
      </c>
      <c r="BX16" s="78" t="str">
        <f>IF(ISNUMBER(O16),
IF(IsBold(O16), TIME(0,0,0),
IF(O16&gt;8, TIME(23,0,0) - (O16 - 1)/24, AS16)), "")</f>
        <v/>
      </c>
      <c r="BY16" s="78" t="str">
        <f t="shared" si="24"/>
        <v/>
      </c>
      <c r="BZ16" s="78" t="str">
        <f>IF(ISNUMBER(P16),
IF(IsBold(P16), TIME(0,0,0),
IF(P16&gt;8, TIME(23,0,0) - (P16 - 1)/24, AS16)), "")</f>
        <v/>
      </c>
      <c r="CA16" s="78" t="str">
        <f t="shared" si="25"/>
        <v/>
      </c>
      <c r="CB16" s="78">
        <f>IF(ISNUMBER(Q16),
IF(IsBold(Q16), TIME(0,0,0),
IF(Q16&gt;8, TIME(23,0,0) - (Q16 - 1)/24, AS16)), "")</f>
        <v>0.33333333333333331</v>
      </c>
      <c r="CC16" s="78">
        <f t="shared" si="26"/>
        <v>0.54166666666666663</v>
      </c>
      <c r="CD16" s="78" t="str">
        <f>IF(ISNUMBER(R16),
IF(IsBold(R16), TIME(0,0,0),
IF(R16&gt;8, TIME(23,0,0) - (R16 - 1)/24, AS16)), "")</f>
        <v/>
      </c>
      <c r="CE16" s="78" t="str">
        <f t="shared" si="27"/>
        <v/>
      </c>
      <c r="CF16" s="78" t="str">
        <f>IF(ISNUMBER(S16),
IF(IsBold(S16), TIME(0,0,0),
IF(S16&gt;8, TIME(23,0,0) - (S16 - 1)/24, AS16)), "")</f>
        <v/>
      </c>
      <c r="CG16" s="99" t="str">
        <f t="shared" si="28"/>
        <v/>
      </c>
      <c r="CM16" s="104">
        <f t="shared" si="10"/>
        <v>6</v>
      </c>
      <c r="CN16" s="106" t="str">
        <f t="shared" si="11"/>
        <v>Кравецька С.Т.</v>
      </c>
      <c r="CO16" s="95" t="str">
        <f t="shared" si="12"/>
        <v>м/с стаціон.</v>
      </c>
      <c r="CP16" s="123" t="str">
        <f>IF(ISNUMBER(T16),
IF(IsBold(T16), TIME(0,0,0),
IF(T16&gt;8, TIME(23,0,0) - (T16 - 1)/24, AS16)), "")</f>
        <v/>
      </c>
      <c r="CQ16" s="124" t="str">
        <f t="shared" si="29"/>
        <v/>
      </c>
      <c r="CR16" s="124" t="str">
        <f>IF(ISNUMBER(U16),
IF(IsBold(U16), TIME(0,0,0),
IF(U16&gt;8, TIME(23,0,0) - (U16 - 1)/24, AS16)), "")</f>
        <v/>
      </c>
      <c r="CS16" s="124" t="str">
        <f t="shared" si="30"/>
        <v/>
      </c>
      <c r="CT16" s="124" t="str">
        <f>IF(ISNUMBER(V16),
IF(IsBold(V16), TIME(0,0,0),
IF(V16&gt;8, TIME(23,0,0) - (V16 - 1)/24, AS16)), "")</f>
        <v/>
      </c>
      <c r="CU16" s="124" t="str">
        <f t="shared" si="31"/>
        <v/>
      </c>
      <c r="CV16" s="124" t="str">
        <f>IF(ISNUMBER(W16),
IF(IsBold(W16), TIME(0,0,0),
IF(W16&gt;8, TIME(23,0,0) - (W16 - 1)/24, AS16)), "")</f>
        <v/>
      </c>
      <c r="CW16" s="124" t="str">
        <f t="shared" si="32"/>
        <v/>
      </c>
      <c r="CX16" s="124" t="str">
        <f>IF(ISNUMBER(X16),
IF(IsBold(X16), TIME(0,0,0),
IF(X16&gt;8, TIME(23,0,0) - (X16 - 1)/24, AS16)), "")</f>
        <v/>
      </c>
      <c r="CY16" s="124" t="str">
        <f t="shared" si="33"/>
        <v/>
      </c>
      <c r="CZ16" s="124" t="str">
        <f>IF(ISNUMBER(Y16),
IF(IsBold(Y16), TIME(0,0,0),
IF(Y16&gt;8, TIME(23,0,0) - (Y16 - 1)/24, AS16)), "")</f>
        <v/>
      </c>
      <c r="DA16" s="124" t="str">
        <f t="shared" si="34"/>
        <v/>
      </c>
      <c r="DB16" s="124" t="str">
        <f>IF(ISNUMBER(Z16),
IF(IsBold(Z16), TIME(0,0,0),
IF(Z16&gt;8, TIME(23,0,0) - (Z16 - 1)/24, AS16)), "")</f>
        <v/>
      </c>
      <c r="DC16" s="124" t="str">
        <f t="shared" si="35"/>
        <v/>
      </c>
      <c r="DD16" s="124" t="str">
        <f>IF(ISNUMBER(AA16),
IF(IsBold(AA16), TIME(0,0,0),
IF(AA16&gt;8, TIME(23,0,0) - (AA16 - 1)/24, AS16)), "")</f>
        <v/>
      </c>
      <c r="DE16" s="124" t="str">
        <f t="shared" si="36"/>
        <v/>
      </c>
      <c r="DF16" s="124" t="str">
        <f>IF(ISNUMBER(AB16),
IF(IsBold(AB16), TIME(0,0,0),
IF(AB16&gt;8, TIME(23,0,0) - (AB16 - 1)/24, AS16)), "")</f>
        <v/>
      </c>
      <c r="DG16" s="124" t="str">
        <f t="shared" si="37"/>
        <v/>
      </c>
      <c r="DH16" s="124" t="str">
        <f>IF(ISNUMBER(AC16),
IF(IsBold(AC16), TIME(0,0,0),
IF(AC16&gt;8, TIME(23,0,0) - (AC16 - 1)/24, AS16)), "")</f>
        <v/>
      </c>
      <c r="DI16" s="124" t="str">
        <f t="shared" si="38"/>
        <v/>
      </c>
      <c r="DJ16" s="124" t="str">
        <f>IF(ISNUMBER(AD16),
IF(IsBold(AD16), TIME(0,0,0),
IF(AD16&gt;8, TIME(23,0,0) - (AD16 - 1)/24, AS16)), "")</f>
        <v/>
      </c>
      <c r="DK16" s="124" t="str">
        <f t="shared" si="39"/>
        <v/>
      </c>
      <c r="DL16" s="124" t="str">
        <f>IF(ISNUMBER(AE16),
IF(IsBold(AE16), TIME(0,0,0),
IF(AE16&gt;8, TIME(23,0,0) - (AE16 - 1)/24, AS16)), "")</f>
        <v/>
      </c>
      <c r="DM16" s="124" t="str">
        <f t="shared" si="40"/>
        <v/>
      </c>
      <c r="DN16" s="124" t="str">
        <f>IF(ISNUMBER(AF16),
IF(IsBold(AF16), TIME(0,0,0),
IF(AF16&gt;8, TIME(23,0,0) - (AF16 - 1)/24, AS16)), "")</f>
        <v/>
      </c>
      <c r="DO16" s="124" t="str">
        <f t="shared" si="41"/>
        <v/>
      </c>
      <c r="DP16" s="124" t="str">
        <f>IF(ISNUMBER(AG16),
IF(IsBold(AG16), TIME(0,0,0),
IF(AG16&gt;8, TIME(23,0,0) - (AG16 - 1)/24, AS16)), "")</f>
        <v/>
      </c>
      <c r="DQ16" s="124" t="str">
        <f t="shared" si="42"/>
        <v/>
      </c>
      <c r="DR16" s="124" t="str">
        <f>IF(ISNUMBER(AH16),
IF(IsBold(AH16), TIME(0,0,0),
IF(AH16&gt;8, TIME(23,0,0) - (AH16 - 1)/24, AS16)), "")</f>
        <v/>
      </c>
      <c r="DS16" s="124" t="str">
        <f t="shared" si="43"/>
        <v/>
      </c>
      <c r="DT16" s="124" t="str">
        <f>IF(ISNUMBER(AI16),
IF(IsBold(AI16), TIME(0,0,0),
IF(AI16&gt;8, TIME(23,0,0) - (AI16 - 1)/24, AS16)), "")</f>
        <v/>
      </c>
      <c r="DU16" s="125" t="str">
        <f t="shared" si="44"/>
        <v/>
      </c>
      <c r="DV16" s="112">
        <f t="shared" si="45"/>
        <v>77</v>
      </c>
    </row>
    <row r="17" spans="1:126" x14ac:dyDescent="0.3">
      <c r="A17" s="12">
        <v>7</v>
      </c>
      <c r="B17" s="59"/>
      <c r="C17" s="60"/>
      <c r="D17" s="61"/>
      <c r="E17" s="57"/>
      <c r="F17" s="65"/>
      <c r="G17" s="66"/>
      <c r="H17" s="67"/>
      <c r="I17" s="65"/>
      <c r="J17" s="65"/>
      <c r="K17" s="66"/>
      <c r="L17" s="67"/>
      <c r="M17" s="65"/>
      <c r="N17" s="68"/>
      <c r="O17" s="66"/>
      <c r="P17" s="67"/>
      <c r="Q17" s="62"/>
      <c r="R17" s="65"/>
      <c r="S17" s="66"/>
      <c r="T17" s="67"/>
      <c r="U17" s="65"/>
      <c r="V17" s="65"/>
      <c r="W17" s="66"/>
      <c r="X17" s="67"/>
      <c r="Y17" s="65"/>
      <c r="Z17" s="65"/>
      <c r="AA17" s="66"/>
      <c r="AB17" s="67"/>
      <c r="AC17" s="65"/>
      <c r="AD17" s="65"/>
      <c r="AE17" s="66"/>
      <c r="AF17" s="67"/>
      <c r="AG17" s="57"/>
      <c r="AH17" s="57"/>
      <c r="AI17" s="57"/>
      <c r="AJ17" s="73">
        <f t="shared" si="1"/>
        <v>0</v>
      </c>
      <c r="AK17" s="74">
        <f t="shared" si="2"/>
        <v>0</v>
      </c>
      <c r="AL17" s="76">
        <f t="shared" si="3"/>
        <v>0</v>
      </c>
      <c r="AM17" s="74">
        <f t="shared" si="4"/>
        <v>0</v>
      </c>
      <c r="AN17" s="74">
        <f>SUM(CountWeekendDays(E10)+COUNTIF(E17:AI17,"С"))</f>
        <v>9</v>
      </c>
      <c r="AO17" s="77">
        <f t="shared" si="5"/>
        <v>0</v>
      </c>
      <c r="AP17" s="88">
        <f>(DAY(EOMONTH(E10, 0)) - AN17 - AK17) * AU17  * D17</f>
        <v>0</v>
      </c>
      <c r="AQ17" s="89">
        <f t="shared" ref="AQ17:AQ32" si="49">AP17 - AO17</f>
        <v>0</v>
      </c>
      <c r="AR17" s="90" t="e">
        <f t="shared" si="46"/>
        <v>#DIV/0!</v>
      </c>
      <c r="AS17" s="121">
        <v>0.33333333333333331</v>
      </c>
      <c r="AU17" s="28">
        <f t="shared" si="6"/>
        <v>7.7</v>
      </c>
      <c r="AV17" s="27"/>
      <c r="AW17" s="27"/>
      <c r="BA17" s="104">
        <f t="shared" si="7"/>
        <v>7</v>
      </c>
      <c r="BB17" s="105">
        <f t="shared" si="8"/>
        <v>0</v>
      </c>
      <c r="BC17" s="95">
        <f t="shared" si="9"/>
        <v>0</v>
      </c>
      <c r="BD17" s="118" t="str">
        <f>IF(ISNUMBER(E17),
IF(IsBold(E17), TIME(0,0,0),
IF(E17&gt;8, TIME(23,0,0) - (E17 - 1)/24, AS17)), "")</f>
        <v/>
      </c>
      <c r="BE17" s="78" t="str">
        <f t="shared" si="14"/>
        <v/>
      </c>
      <c r="BF17" s="78" t="str">
        <f>IF(ISNUMBER(F17),
IF(IsBold(F17), TIME(0,0,0),
IF(F17&gt;8, TIME(23,0,0) - (F17 - 1)/24, AS17)), "")</f>
        <v/>
      </c>
      <c r="BG17" s="78" t="str">
        <f t="shared" si="15"/>
        <v/>
      </c>
      <c r="BH17" s="78" t="str">
        <f>IF(ISNUMBER(G17),
IF(IsBold(G17), TIME(0,0,0),
IF(G17&gt;8, TIME(23,0,0) - (G17 - 1)/24, AS17)), "")</f>
        <v/>
      </c>
      <c r="BI17" s="78" t="str">
        <f t="shared" si="16"/>
        <v/>
      </c>
      <c r="BJ17" s="78" t="str">
        <f>IF(ISNUMBER(H17),
IF(IsBold(H17), TIME(0,0,0),
IF(H17&gt;8, TIME(23,0,0) - (H17 - 1)/24, AS17)), "")</f>
        <v/>
      </c>
      <c r="BK17" s="78" t="str">
        <f t="shared" si="17"/>
        <v/>
      </c>
      <c r="BL17" s="78" t="str">
        <f>IF(ISNUMBER(I17),
IF(IsBold(I17), TIME(0,0,0),
IF(I17&gt;8, TIME(23,0,0) - (I17 - 1)/24, AS17)), "")</f>
        <v/>
      </c>
      <c r="BM17" s="78" t="str">
        <f t="shared" si="18"/>
        <v/>
      </c>
      <c r="BN17" s="78" t="str">
        <f>IF(ISNUMBER(J17),
IF(IsBold(J17), TIME(0,0,0),
IF(J17&gt;8, TIME(23,0,0) - (J17 - 1)/24, AS17)), "")</f>
        <v/>
      </c>
      <c r="BO17" s="78" t="str">
        <f t="shared" si="19"/>
        <v/>
      </c>
      <c r="BP17" s="78" t="str">
        <f>IF(ISNUMBER(K17),
IF(IsBold(K17), TIME(0,0,0),
IF(K17&gt;8, TIME(23,0,0) - (K17 - 1)/24, AS17)), "")</f>
        <v/>
      </c>
      <c r="BQ17" s="78" t="str">
        <f t="shared" si="20"/>
        <v/>
      </c>
      <c r="BR17" s="78" t="str">
        <f>IF(ISNUMBER(L17),
IF(IsBold(L17), TIME(0,0,0),
IF(L17&gt;8, TIME(23,0,0) - (L17 - 1)/24, AS17)), "")</f>
        <v/>
      </c>
      <c r="BS17" s="78" t="str">
        <f t="shared" si="21"/>
        <v/>
      </c>
      <c r="BT17" s="78" t="str">
        <f>IF(ISNUMBER(M17),
IF(IsBold(M17), TIME(0,0,0),
IF(M17&gt;8, TIME(23,0,0) - (M17 - 1)/24, AS17)), "")</f>
        <v/>
      </c>
      <c r="BU17" s="78" t="str">
        <f t="shared" si="22"/>
        <v/>
      </c>
      <c r="BV17" s="78" t="str">
        <f>IF(ISNUMBER(N17),
IF(IsBold(N17), TIME(0,0,0),
IF(N17&gt;8, TIME(23,0,0) - (N17 - 1)/24, AS17)), "")</f>
        <v/>
      </c>
      <c r="BW17" s="78" t="str">
        <f t="shared" si="23"/>
        <v/>
      </c>
      <c r="BX17" s="78" t="str">
        <f>IF(ISNUMBER(O17),
IF(IsBold(O17), TIME(0,0,0),
IF(O17&gt;8, TIME(23,0,0) - (O17 - 1)/24, AS17)), "")</f>
        <v/>
      </c>
      <c r="BY17" s="78" t="str">
        <f t="shared" si="24"/>
        <v/>
      </c>
      <c r="BZ17" s="78" t="str">
        <f>IF(ISNUMBER(P17),
IF(IsBold(P17), TIME(0,0,0),
IF(P17&gt;8, TIME(23,0,0) - (P17 - 1)/24, AS17)), "")</f>
        <v/>
      </c>
      <c r="CA17" s="78" t="str">
        <f t="shared" si="25"/>
        <v/>
      </c>
      <c r="CB17" s="78" t="str">
        <f>IF(ISNUMBER(Q17),
IF(IsBold(Q17), TIME(0,0,0),
IF(Q17&gt;8, TIME(23,0,0) - (Q17 - 1)/24, AS17)), "")</f>
        <v/>
      </c>
      <c r="CC17" s="78" t="str">
        <f t="shared" si="26"/>
        <v/>
      </c>
      <c r="CD17" s="78" t="str">
        <f>IF(ISNUMBER(R17),
IF(IsBold(R17), TIME(0,0,0),
IF(R17&gt;8, TIME(23,0,0) - (R17 - 1)/24, AS17)), "")</f>
        <v/>
      </c>
      <c r="CE17" s="78" t="str">
        <f t="shared" si="27"/>
        <v/>
      </c>
      <c r="CF17" s="78" t="str">
        <f>IF(ISNUMBER(S17),
IF(IsBold(S17), TIME(0,0,0),
IF(S17&gt;8, TIME(23,0,0) - (S17 - 1)/24, AS17)), "")</f>
        <v/>
      </c>
      <c r="CG17" s="99" t="str">
        <f t="shared" si="28"/>
        <v/>
      </c>
      <c r="CM17" s="104">
        <f t="shared" si="10"/>
        <v>7</v>
      </c>
      <c r="CN17" s="106">
        <f t="shared" si="11"/>
        <v>0</v>
      </c>
      <c r="CO17" s="95">
        <f t="shared" si="12"/>
        <v>0</v>
      </c>
      <c r="CP17" s="123" t="str">
        <f>IF(ISNUMBER(T17),
IF(IsBold(T17), TIME(0,0,0),
IF(T17&gt;8, TIME(23,0,0) - (T17 - 1)/24, AS17)), "")</f>
        <v/>
      </c>
      <c r="CQ17" s="124" t="str">
        <f t="shared" si="29"/>
        <v/>
      </c>
      <c r="CR17" s="124" t="str">
        <f>IF(ISNUMBER(U17),
IF(IsBold(U17), TIME(0,0,0),
IF(U17&gt;8, TIME(23,0,0) - (U17 - 1)/24, AS17)), "")</f>
        <v/>
      </c>
      <c r="CS17" s="124" t="str">
        <f t="shared" si="30"/>
        <v/>
      </c>
      <c r="CT17" s="124" t="str">
        <f>IF(ISNUMBER(V17),
IF(IsBold(V17), TIME(0,0,0),
IF(V17&gt;8, TIME(23,0,0) - (V17 - 1)/24, AS17)), "")</f>
        <v/>
      </c>
      <c r="CU17" s="124" t="str">
        <f t="shared" si="31"/>
        <v/>
      </c>
      <c r="CV17" s="124" t="str">
        <f>IF(ISNUMBER(W17),
IF(IsBold(W17), TIME(0,0,0),
IF(W17&gt;8, TIME(23,0,0) - (W17 - 1)/24, AS17)), "")</f>
        <v/>
      </c>
      <c r="CW17" s="124" t="str">
        <f t="shared" si="32"/>
        <v/>
      </c>
      <c r="CX17" s="124" t="str">
        <f>IF(ISNUMBER(X17),
IF(IsBold(X17), TIME(0,0,0),
IF(X17&gt;8, TIME(23,0,0) - (X17 - 1)/24, AS17)), "")</f>
        <v/>
      </c>
      <c r="CY17" s="124" t="str">
        <f t="shared" si="33"/>
        <v/>
      </c>
      <c r="CZ17" s="124" t="str">
        <f>IF(ISNUMBER(Y17),
IF(IsBold(Y17), TIME(0,0,0),
IF(Y17&gt;8, TIME(23,0,0) - (Y17 - 1)/24, AS17)), "")</f>
        <v/>
      </c>
      <c r="DA17" s="124" t="str">
        <f t="shared" si="34"/>
        <v/>
      </c>
      <c r="DB17" s="124" t="str">
        <f>IF(ISNUMBER(Z17),
IF(IsBold(Z17), TIME(0,0,0),
IF(Z17&gt;8, TIME(23,0,0) - (Z17 - 1)/24, AS17)), "")</f>
        <v/>
      </c>
      <c r="DC17" s="124" t="str">
        <f t="shared" si="35"/>
        <v/>
      </c>
      <c r="DD17" s="124" t="str">
        <f>IF(ISNUMBER(AA17),
IF(IsBold(AA17), TIME(0,0,0),
IF(AA17&gt;8, TIME(23,0,0) - (AA17 - 1)/24, AS17)), "")</f>
        <v/>
      </c>
      <c r="DE17" s="124" t="str">
        <f t="shared" si="36"/>
        <v/>
      </c>
      <c r="DF17" s="124" t="str">
        <f>IF(ISNUMBER(AB17),
IF(IsBold(AB17), TIME(0,0,0),
IF(AB17&gt;8, TIME(23,0,0) - (AB17 - 1)/24, AS17)), "")</f>
        <v/>
      </c>
      <c r="DG17" s="124" t="str">
        <f t="shared" si="37"/>
        <v/>
      </c>
      <c r="DH17" s="124" t="str">
        <f>IF(ISNUMBER(AC17),
IF(IsBold(AC17), TIME(0,0,0),
IF(AC17&gt;8, TIME(23,0,0) - (AC17 - 1)/24, AS17)), "")</f>
        <v/>
      </c>
      <c r="DI17" s="124" t="str">
        <f t="shared" si="38"/>
        <v/>
      </c>
      <c r="DJ17" s="124" t="str">
        <f>IF(ISNUMBER(AD17),
IF(IsBold(AD17), TIME(0,0,0),
IF(AD17&gt;8, TIME(23,0,0) - (AD17 - 1)/24, AS17)), "")</f>
        <v/>
      </c>
      <c r="DK17" s="124" t="str">
        <f t="shared" si="39"/>
        <v/>
      </c>
      <c r="DL17" s="124" t="str">
        <f>IF(ISNUMBER(AE17),
IF(IsBold(AE17), TIME(0,0,0),
IF(AE17&gt;8, TIME(23,0,0) - (AE17 - 1)/24, AS17)), "")</f>
        <v/>
      </c>
      <c r="DM17" s="124" t="str">
        <f t="shared" si="40"/>
        <v/>
      </c>
      <c r="DN17" s="124" t="str">
        <f>IF(ISNUMBER(AF17),
IF(IsBold(AF17), TIME(0,0,0),
IF(AF17&gt;8, TIME(23,0,0) - (AF17 - 1)/24, AS17)), "")</f>
        <v/>
      </c>
      <c r="DO17" s="124" t="str">
        <f t="shared" si="41"/>
        <v/>
      </c>
      <c r="DP17" s="124" t="str">
        <f>IF(ISNUMBER(AG17),
IF(IsBold(AG17), TIME(0,0,0),
IF(AG17&gt;8, TIME(23,0,0) - (AG17 - 1)/24, AS17)), "")</f>
        <v/>
      </c>
      <c r="DQ17" s="124" t="str">
        <f t="shared" si="42"/>
        <v/>
      </c>
      <c r="DR17" s="124" t="str">
        <f>IF(ISNUMBER(AH17),
IF(IsBold(AH17), TIME(0,0,0),
IF(AH17&gt;8, TIME(23,0,0) - (AH17 - 1)/24, AS17)), "")</f>
        <v/>
      </c>
      <c r="DS17" s="124" t="str">
        <f t="shared" si="43"/>
        <v/>
      </c>
      <c r="DT17" s="124" t="str">
        <f>IF(ISNUMBER(AI17),
IF(IsBold(AI17), TIME(0,0,0),
IF(AI17&gt;8, TIME(23,0,0) - (AI17 - 1)/24, AS17)), "")</f>
        <v/>
      </c>
      <c r="DU17" s="125" t="str">
        <f t="shared" si="44"/>
        <v/>
      </c>
      <c r="DV17" s="112">
        <f t="shared" si="45"/>
        <v>0</v>
      </c>
    </row>
    <row r="18" spans="1:126" x14ac:dyDescent="0.3">
      <c r="A18" s="12">
        <v>8</v>
      </c>
      <c r="B18" s="59"/>
      <c r="C18" s="60"/>
      <c r="D18" s="61"/>
      <c r="E18" s="57"/>
      <c r="F18" s="65"/>
      <c r="G18" s="66"/>
      <c r="H18" s="67"/>
      <c r="I18" s="65"/>
      <c r="J18" s="65"/>
      <c r="K18" s="66"/>
      <c r="L18" s="67"/>
      <c r="M18" s="65"/>
      <c r="N18" s="65"/>
      <c r="O18" s="66"/>
      <c r="P18" s="67"/>
      <c r="Q18" s="65"/>
      <c r="R18" s="65"/>
      <c r="S18" s="66"/>
      <c r="T18" s="67"/>
      <c r="U18" s="65"/>
      <c r="V18" s="65"/>
      <c r="W18" s="66"/>
      <c r="X18" s="67"/>
      <c r="Y18" s="65"/>
      <c r="Z18" s="65"/>
      <c r="AA18" s="66"/>
      <c r="AB18" s="67"/>
      <c r="AC18" s="65"/>
      <c r="AD18" s="65"/>
      <c r="AE18" s="66"/>
      <c r="AF18" s="67"/>
      <c r="AG18" s="57"/>
      <c r="AH18" s="57"/>
      <c r="AI18" s="57"/>
      <c r="AJ18" s="73">
        <f t="shared" si="1"/>
        <v>0</v>
      </c>
      <c r="AK18" s="74">
        <f t="shared" si="2"/>
        <v>0</v>
      </c>
      <c r="AL18" s="76">
        <f t="shared" si="3"/>
        <v>0</v>
      </c>
      <c r="AM18" s="74">
        <f t="shared" si="4"/>
        <v>0</v>
      </c>
      <c r="AN18" s="74">
        <f>SUM(CountWeekendDays(E10)+COUNTIF(E18:AI18,"С"))</f>
        <v>9</v>
      </c>
      <c r="AO18" s="77">
        <f t="shared" si="5"/>
        <v>0</v>
      </c>
      <c r="AP18" s="88">
        <f>(DAY(EOMONTH(E10, 0)) - AN18 - AK18) * AU18  * D18</f>
        <v>0</v>
      </c>
      <c r="AQ18" s="89">
        <f t="shared" si="49"/>
        <v>0</v>
      </c>
      <c r="AR18" s="90" t="e">
        <f t="shared" si="46"/>
        <v>#DIV/0!</v>
      </c>
      <c r="AS18" s="121">
        <v>0.33333333333333331</v>
      </c>
      <c r="AU18" s="28">
        <f t="shared" si="6"/>
        <v>7.7</v>
      </c>
      <c r="AV18" s="27"/>
      <c r="AW18" s="27"/>
      <c r="BA18" s="104">
        <f t="shared" si="7"/>
        <v>8</v>
      </c>
      <c r="BB18" s="105">
        <f t="shared" si="8"/>
        <v>0</v>
      </c>
      <c r="BC18" s="95">
        <f t="shared" si="9"/>
        <v>0</v>
      </c>
      <c r="BD18" s="118" t="str">
        <f>IF(ISNUMBER(E18),
IF(IsBold(E18), TIME(0,0,0),
IF(E18&gt;8, TIME(23,0,0) - (E18 - 1)/24, AS18)), "")</f>
        <v/>
      </c>
      <c r="BE18" s="78" t="str">
        <f t="shared" si="14"/>
        <v/>
      </c>
      <c r="BF18" s="78" t="str">
        <f>IF(ISNUMBER(F18),
IF(IsBold(F18), TIME(0,0,0),
IF(F18&gt;8, TIME(23,0,0) - (F18 - 1)/24, AS18)), "")</f>
        <v/>
      </c>
      <c r="BG18" s="78" t="str">
        <f t="shared" si="15"/>
        <v/>
      </c>
      <c r="BH18" s="78" t="str">
        <f>IF(ISNUMBER(G18),
IF(IsBold(G18), TIME(0,0,0),
IF(G18&gt;8, TIME(23,0,0) - (G18 - 1)/24, AS18)), "")</f>
        <v/>
      </c>
      <c r="BI18" s="78" t="str">
        <f t="shared" si="16"/>
        <v/>
      </c>
      <c r="BJ18" s="78" t="str">
        <f>IF(ISNUMBER(H18),
IF(IsBold(H18), TIME(0,0,0),
IF(H18&gt;8, TIME(23,0,0) - (H18 - 1)/24, AS18)), "")</f>
        <v/>
      </c>
      <c r="BK18" s="78" t="str">
        <f t="shared" si="17"/>
        <v/>
      </c>
      <c r="BL18" s="78" t="str">
        <f>IF(ISNUMBER(I18),
IF(IsBold(I18), TIME(0,0,0),
IF(I18&gt;8, TIME(23,0,0) - (I18 - 1)/24, AS18)), "")</f>
        <v/>
      </c>
      <c r="BM18" s="78" t="str">
        <f t="shared" si="18"/>
        <v/>
      </c>
      <c r="BN18" s="78" t="str">
        <f>IF(ISNUMBER(J18),
IF(IsBold(J18), TIME(0,0,0),
IF(J18&gt;8, TIME(23,0,0) - (J18 - 1)/24, AS18)), "")</f>
        <v/>
      </c>
      <c r="BO18" s="78" t="str">
        <f t="shared" si="19"/>
        <v/>
      </c>
      <c r="BP18" s="78" t="str">
        <f>IF(ISNUMBER(K18),
IF(IsBold(K18), TIME(0,0,0),
IF(K18&gt;8, TIME(23,0,0) - (K18 - 1)/24, AS18)), "")</f>
        <v/>
      </c>
      <c r="BQ18" s="78" t="str">
        <f t="shared" si="20"/>
        <v/>
      </c>
      <c r="BR18" s="78" t="str">
        <f>IF(ISNUMBER(L18),
IF(IsBold(L18), TIME(0,0,0),
IF(L18&gt;8, TIME(23,0,0) - (L18 - 1)/24, AS18)), "")</f>
        <v/>
      </c>
      <c r="BS18" s="78" t="str">
        <f t="shared" si="21"/>
        <v/>
      </c>
      <c r="BT18" s="78" t="str">
        <f>IF(ISNUMBER(M18),
IF(IsBold(M18), TIME(0,0,0),
IF(M18&gt;8, TIME(23,0,0) - (M18 - 1)/24, AS18)), "")</f>
        <v/>
      </c>
      <c r="BU18" s="78" t="str">
        <f t="shared" si="22"/>
        <v/>
      </c>
      <c r="BV18" s="78" t="str">
        <f>IF(ISNUMBER(N18),
IF(IsBold(N18), TIME(0,0,0),
IF(N18&gt;8, TIME(23,0,0) - (N18 - 1)/24, AS18)), "")</f>
        <v/>
      </c>
      <c r="BW18" s="78" t="str">
        <f t="shared" si="23"/>
        <v/>
      </c>
      <c r="BX18" s="78" t="str">
        <f>IF(ISNUMBER(O18),
IF(IsBold(O18), TIME(0,0,0),
IF(O18&gt;8, TIME(23,0,0) - (O18 - 1)/24, AS18)), "")</f>
        <v/>
      </c>
      <c r="BY18" s="78" t="str">
        <f t="shared" si="24"/>
        <v/>
      </c>
      <c r="BZ18" s="78" t="str">
        <f>IF(ISNUMBER(P18),
IF(IsBold(P18), TIME(0,0,0),
IF(P18&gt;8, TIME(23,0,0) - (P18 - 1)/24, AS18)), "")</f>
        <v/>
      </c>
      <c r="CA18" s="78" t="str">
        <f t="shared" si="25"/>
        <v/>
      </c>
      <c r="CB18" s="78" t="str">
        <f>IF(ISNUMBER(Q18),
IF(IsBold(Q18), TIME(0,0,0),
IF(Q18&gt;8, TIME(23,0,0) - (Q18 - 1)/24, AS18)), "")</f>
        <v/>
      </c>
      <c r="CC18" s="78" t="str">
        <f t="shared" si="26"/>
        <v/>
      </c>
      <c r="CD18" s="78" t="str">
        <f>IF(ISNUMBER(R18),
IF(IsBold(R18), TIME(0,0,0),
IF(R18&gt;8, TIME(23,0,0) - (R18 - 1)/24, AS18)), "")</f>
        <v/>
      </c>
      <c r="CE18" s="78" t="str">
        <f t="shared" si="27"/>
        <v/>
      </c>
      <c r="CF18" s="78" t="str">
        <f>IF(ISNUMBER(S18),
IF(IsBold(S18), TIME(0,0,0),
IF(S18&gt;8, TIME(23,0,0) - (S18 - 1)/24, AS18)), "")</f>
        <v/>
      </c>
      <c r="CG18" s="99" t="str">
        <f t="shared" si="28"/>
        <v/>
      </c>
      <c r="CM18" s="104">
        <f t="shared" si="10"/>
        <v>8</v>
      </c>
      <c r="CN18" s="106">
        <f t="shared" si="11"/>
        <v>0</v>
      </c>
      <c r="CO18" s="95">
        <f t="shared" si="12"/>
        <v>0</v>
      </c>
      <c r="CP18" s="123" t="str">
        <f>IF(ISNUMBER(T18),
IF(IsBold(T18), TIME(0,0,0),
IF(T18&gt;8, TIME(23,0,0) - (T18 - 1)/24, AS18)), "")</f>
        <v/>
      </c>
      <c r="CQ18" s="124" t="str">
        <f t="shared" si="29"/>
        <v/>
      </c>
      <c r="CR18" s="124" t="str">
        <f>IF(ISNUMBER(U18),
IF(IsBold(U18), TIME(0,0,0),
IF(U18&gt;8, TIME(23,0,0) - (U18 - 1)/24, AS18)), "")</f>
        <v/>
      </c>
      <c r="CS18" s="124" t="str">
        <f t="shared" si="30"/>
        <v/>
      </c>
      <c r="CT18" s="124" t="str">
        <f>IF(ISNUMBER(V18),
IF(IsBold(V18), TIME(0,0,0),
IF(V18&gt;8, TIME(23,0,0) - (V18 - 1)/24, AS18)), "")</f>
        <v/>
      </c>
      <c r="CU18" s="124" t="str">
        <f t="shared" si="31"/>
        <v/>
      </c>
      <c r="CV18" s="124" t="str">
        <f>IF(ISNUMBER(W18),
IF(IsBold(W18), TIME(0,0,0),
IF(W18&gt;8, TIME(23,0,0) - (W18 - 1)/24, AS18)), "")</f>
        <v/>
      </c>
      <c r="CW18" s="124" t="str">
        <f t="shared" si="32"/>
        <v/>
      </c>
      <c r="CX18" s="124" t="str">
        <f>IF(ISNUMBER(X18),
IF(IsBold(X18), TIME(0,0,0),
IF(X18&gt;8, TIME(23,0,0) - (X18 - 1)/24, AS18)), "")</f>
        <v/>
      </c>
      <c r="CY18" s="124" t="str">
        <f t="shared" si="33"/>
        <v/>
      </c>
      <c r="CZ18" s="124" t="str">
        <f>IF(ISNUMBER(Y18),
IF(IsBold(Y18), TIME(0,0,0),
IF(Y18&gt;8, TIME(23,0,0) - (Y18 - 1)/24, AS18)), "")</f>
        <v/>
      </c>
      <c r="DA18" s="124" t="str">
        <f t="shared" si="34"/>
        <v/>
      </c>
      <c r="DB18" s="124" t="str">
        <f>IF(ISNUMBER(Z18),
IF(IsBold(Z18), TIME(0,0,0),
IF(Z18&gt;8, TIME(23,0,0) - (Z18 - 1)/24, AS18)), "")</f>
        <v/>
      </c>
      <c r="DC18" s="124" t="str">
        <f t="shared" si="35"/>
        <v/>
      </c>
      <c r="DD18" s="124" t="str">
        <f>IF(ISNUMBER(AA18),
IF(IsBold(AA18), TIME(0,0,0),
IF(AA18&gt;8, TIME(23,0,0) - (AA18 - 1)/24, AS18)), "")</f>
        <v/>
      </c>
      <c r="DE18" s="124" t="str">
        <f t="shared" si="36"/>
        <v/>
      </c>
      <c r="DF18" s="124" t="str">
        <f>IF(ISNUMBER(AB18),
IF(IsBold(AB18), TIME(0,0,0),
IF(AB18&gt;8, TIME(23,0,0) - (AB18 - 1)/24, AS18)), "")</f>
        <v/>
      </c>
      <c r="DG18" s="124" t="str">
        <f t="shared" si="37"/>
        <v/>
      </c>
      <c r="DH18" s="124" t="str">
        <f>IF(ISNUMBER(AC18),
IF(IsBold(AC18), TIME(0,0,0),
IF(AC18&gt;8, TIME(23,0,0) - (AC18 - 1)/24, AS18)), "")</f>
        <v/>
      </c>
      <c r="DI18" s="124" t="str">
        <f t="shared" si="38"/>
        <v/>
      </c>
      <c r="DJ18" s="124" t="str">
        <f>IF(ISNUMBER(AD18),
IF(IsBold(AD18), TIME(0,0,0),
IF(AD18&gt;8, TIME(23,0,0) - (AD18 - 1)/24, AS18)), "")</f>
        <v/>
      </c>
      <c r="DK18" s="124" t="str">
        <f t="shared" si="39"/>
        <v/>
      </c>
      <c r="DL18" s="124" t="str">
        <f>IF(ISNUMBER(AE18),
IF(IsBold(AE18), TIME(0,0,0),
IF(AE18&gt;8, TIME(23,0,0) - (AE18 - 1)/24, AS18)), "")</f>
        <v/>
      </c>
      <c r="DM18" s="124" t="str">
        <f t="shared" si="40"/>
        <v/>
      </c>
      <c r="DN18" s="124" t="str">
        <f>IF(ISNUMBER(AF18),
IF(IsBold(AF18), TIME(0,0,0),
IF(AF18&gt;8, TIME(23,0,0) - (AF18 - 1)/24, AS18)), "")</f>
        <v/>
      </c>
      <c r="DO18" s="124" t="str">
        <f t="shared" si="41"/>
        <v/>
      </c>
      <c r="DP18" s="124" t="str">
        <f>IF(ISNUMBER(AG18),
IF(IsBold(AG18), TIME(0,0,0),
IF(AG18&gt;8, TIME(23,0,0) - (AG18 - 1)/24, AS18)), "")</f>
        <v/>
      </c>
      <c r="DQ18" s="124" t="str">
        <f t="shared" si="42"/>
        <v/>
      </c>
      <c r="DR18" s="124" t="str">
        <f>IF(ISNUMBER(AH18),
IF(IsBold(AH18), TIME(0,0,0),
IF(AH18&gt;8, TIME(23,0,0) - (AH18 - 1)/24, AS18)), "")</f>
        <v/>
      </c>
      <c r="DS18" s="124" t="str">
        <f t="shared" si="43"/>
        <v/>
      </c>
      <c r="DT18" s="124" t="str">
        <f>IF(ISNUMBER(AI18),
IF(IsBold(AI18), TIME(0,0,0),
IF(AI18&gt;8, TIME(23,0,0) - (AI18 - 1)/24, AS18)), "")</f>
        <v/>
      </c>
      <c r="DU18" s="125" t="str">
        <f t="shared" si="44"/>
        <v/>
      </c>
      <c r="DV18" s="112">
        <f t="shared" si="45"/>
        <v>0</v>
      </c>
    </row>
    <row r="19" spans="1:126" x14ac:dyDescent="0.3">
      <c r="A19" s="12">
        <v>9</v>
      </c>
      <c r="B19" s="69"/>
      <c r="C19" s="60"/>
      <c r="D19" s="61"/>
      <c r="E19" s="57"/>
      <c r="F19" s="65"/>
      <c r="G19" s="66"/>
      <c r="H19" s="67"/>
      <c r="I19" s="65"/>
      <c r="J19" s="62"/>
      <c r="K19" s="66"/>
      <c r="L19" s="67"/>
      <c r="M19" s="65"/>
      <c r="N19" s="65"/>
      <c r="O19" s="66"/>
      <c r="P19" s="67"/>
      <c r="Q19" s="65"/>
      <c r="R19" s="65"/>
      <c r="S19" s="66"/>
      <c r="T19" s="67"/>
      <c r="U19" s="65"/>
      <c r="V19" s="65"/>
      <c r="W19" s="66"/>
      <c r="X19" s="67"/>
      <c r="Y19" s="65"/>
      <c r="Z19" s="65"/>
      <c r="AA19" s="66"/>
      <c r="AB19" s="67"/>
      <c r="AC19" s="65"/>
      <c r="AD19" s="65"/>
      <c r="AE19" s="66"/>
      <c r="AF19" s="67"/>
      <c r="AG19" s="57"/>
      <c r="AH19" s="57"/>
      <c r="AI19" s="57"/>
      <c r="AJ19" s="73">
        <f t="shared" si="1"/>
        <v>0</v>
      </c>
      <c r="AK19" s="74">
        <f t="shared" si="2"/>
        <v>0</v>
      </c>
      <c r="AL19" s="76">
        <f t="shared" si="3"/>
        <v>0</v>
      </c>
      <c r="AM19" s="74">
        <f t="shared" si="4"/>
        <v>0</v>
      </c>
      <c r="AN19" s="74">
        <f>SUM(CountWeekendDays(E10)+COUNTIF(E19:AI19,"С"))</f>
        <v>9</v>
      </c>
      <c r="AO19" s="77">
        <f t="shared" si="5"/>
        <v>0</v>
      </c>
      <c r="AP19" s="88">
        <f>(DAY(EOMONTH(E10, 0)) - AN19 - AK19) * AU19  * D19</f>
        <v>0</v>
      </c>
      <c r="AQ19" s="89">
        <f t="shared" si="49"/>
        <v>0</v>
      </c>
      <c r="AR19" s="90" t="e">
        <f t="shared" si="46"/>
        <v>#DIV/0!</v>
      </c>
      <c r="AS19" s="121">
        <v>0.33333333333333331</v>
      </c>
      <c r="AU19" s="28">
        <f t="shared" si="6"/>
        <v>7.7</v>
      </c>
      <c r="AV19" s="27"/>
      <c r="AW19" s="27"/>
      <c r="BA19" s="104">
        <f t="shared" si="7"/>
        <v>9</v>
      </c>
      <c r="BB19" s="105">
        <f t="shared" si="8"/>
        <v>0</v>
      </c>
      <c r="BC19" s="95">
        <f t="shared" si="9"/>
        <v>0</v>
      </c>
      <c r="BD19" s="118" t="str">
        <f>IF(ISNUMBER(E19),
IF(IsBold(E19), TIME(0,0,0),
IF(E19&gt;8, TIME(23,0,0) - (E19 - 1)/24, AS19)), "")</f>
        <v/>
      </c>
      <c r="BE19" s="78" t="str">
        <f t="shared" si="14"/>
        <v/>
      </c>
      <c r="BF19" s="78" t="str">
        <f>IF(ISNUMBER(F19),
IF(IsBold(F19), TIME(0,0,0),
IF(F19&gt;8, TIME(23,0,0) - (F19 - 1)/24, AS19)), "")</f>
        <v/>
      </c>
      <c r="BG19" s="78" t="str">
        <f t="shared" si="15"/>
        <v/>
      </c>
      <c r="BH19" s="78" t="str">
        <f>IF(ISNUMBER(G19),
IF(IsBold(G19), TIME(0,0,0),
IF(G19&gt;8, TIME(23,0,0) - (G19 - 1)/24, AS19)), "")</f>
        <v/>
      </c>
      <c r="BI19" s="78" t="str">
        <f t="shared" si="16"/>
        <v/>
      </c>
      <c r="BJ19" s="78" t="str">
        <f>IF(ISNUMBER(H19),
IF(IsBold(H19), TIME(0,0,0),
IF(H19&gt;8, TIME(23,0,0) - (H19 - 1)/24, AS19)), "")</f>
        <v/>
      </c>
      <c r="BK19" s="78" t="str">
        <f t="shared" si="17"/>
        <v/>
      </c>
      <c r="BL19" s="78" t="str">
        <f>IF(ISNUMBER(I19),
IF(IsBold(I19), TIME(0,0,0),
IF(I19&gt;8, TIME(23,0,0) - (I19 - 1)/24, AS19)), "")</f>
        <v/>
      </c>
      <c r="BM19" s="78" t="str">
        <f t="shared" si="18"/>
        <v/>
      </c>
      <c r="BN19" s="78" t="str">
        <f>IF(ISNUMBER(J19),
IF(IsBold(J19), TIME(0,0,0),
IF(J19&gt;8, TIME(23,0,0) - (J19 - 1)/24, AS19)), "")</f>
        <v/>
      </c>
      <c r="BO19" s="78" t="str">
        <f t="shared" si="19"/>
        <v/>
      </c>
      <c r="BP19" s="78" t="str">
        <f>IF(ISNUMBER(K19),
IF(IsBold(K19), TIME(0,0,0),
IF(K19&gt;8, TIME(23,0,0) - (K19 - 1)/24, AS19)), "")</f>
        <v/>
      </c>
      <c r="BQ19" s="78" t="str">
        <f t="shared" si="20"/>
        <v/>
      </c>
      <c r="BR19" s="78" t="str">
        <f>IF(ISNUMBER(L19),
IF(IsBold(L19), TIME(0,0,0),
IF(L19&gt;8, TIME(23,0,0) - (L19 - 1)/24, AS19)), "")</f>
        <v/>
      </c>
      <c r="BS19" s="78" t="str">
        <f t="shared" si="21"/>
        <v/>
      </c>
      <c r="BT19" s="78" t="str">
        <f>IF(ISNUMBER(M19),
IF(IsBold(M19), TIME(0,0,0),
IF(M19&gt;8, TIME(23,0,0) - (M19 - 1)/24, AS19)), "")</f>
        <v/>
      </c>
      <c r="BU19" s="78" t="str">
        <f t="shared" si="22"/>
        <v/>
      </c>
      <c r="BV19" s="78" t="str">
        <f>IF(ISNUMBER(N19),
IF(IsBold(N19), TIME(0,0,0),
IF(N19&gt;8, TIME(23,0,0) - (N19 - 1)/24, AS19)), "")</f>
        <v/>
      </c>
      <c r="BW19" s="78" t="str">
        <f t="shared" si="23"/>
        <v/>
      </c>
      <c r="BX19" s="78" t="str">
        <f>IF(ISNUMBER(O19),
IF(IsBold(O19), TIME(0,0,0),
IF(O19&gt;8, TIME(23,0,0) - (O19 - 1)/24, AS19)), "")</f>
        <v/>
      </c>
      <c r="BY19" s="78" t="str">
        <f t="shared" si="24"/>
        <v/>
      </c>
      <c r="BZ19" s="78" t="str">
        <f>IF(ISNUMBER(P19),
IF(IsBold(P19), TIME(0,0,0),
IF(P19&gt;8, TIME(23,0,0) - (P19 - 1)/24, AS19)), "")</f>
        <v/>
      </c>
      <c r="CA19" s="78" t="str">
        <f t="shared" si="25"/>
        <v/>
      </c>
      <c r="CB19" s="78" t="str">
        <f>IF(ISNUMBER(Q19),
IF(IsBold(Q19), TIME(0,0,0),
IF(Q19&gt;8, TIME(23,0,0) - (Q19 - 1)/24, AS19)), "")</f>
        <v/>
      </c>
      <c r="CC19" s="78" t="str">
        <f t="shared" si="26"/>
        <v/>
      </c>
      <c r="CD19" s="78" t="str">
        <f>IF(ISNUMBER(R19),
IF(IsBold(R19), TIME(0,0,0),
IF(R19&gt;8, TIME(23,0,0) - (R19 - 1)/24, AS19)), "")</f>
        <v/>
      </c>
      <c r="CE19" s="78" t="str">
        <f t="shared" si="27"/>
        <v/>
      </c>
      <c r="CF19" s="78" t="str">
        <f>IF(ISNUMBER(S19),
IF(IsBold(S19), TIME(0,0,0),
IF(S19&gt;8, TIME(23,0,0) - (S19 - 1)/24, AS19)), "")</f>
        <v/>
      </c>
      <c r="CG19" s="99" t="str">
        <f t="shared" si="28"/>
        <v/>
      </c>
      <c r="CM19" s="104">
        <f t="shared" si="10"/>
        <v>9</v>
      </c>
      <c r="CN19" s="106">
        <f t="shared" si="11"/>
        <v>0</v>
      </c>
      <c r="CO19" s="95">
        <f t="shared" si="12"/>
        <v>0</v>
      </c>
      <c r="CP19" s="123" t="str">
        <f>IF(ISNUMBER(T19),
IF(IsBold(T19), TIME(0,0,0),
IF(T19&gt;8, TIME(23,0,0) - (T19 - 1)/24, AS19)), "")</f>
        <v/>
      </c>
      <c r="CQ19" s="124" t="str">
        <f t="shared" si="29"/>
        <v/>
      </c>
      <c r="CR19" s="124" t="str">
        <f>IF(ISNUMBER(U19),
IF(IsBold(U19), TIME(0,0,0),
IF(U19&gt;8, TIME(23,0,0) - (U19 - 1)/24, AS19)), "")</f>
        <v/>
      </c>
      <c r="CS19" s="124" t="str">
        <f t="shared" si="30"/>
        <v/>
      </c>
      <c r="CT19" s="124" t="str">
        <f>IF(ISNUMBER(V19),
IF(IsBold(V19), TIME(0,0,0),
IF(V19&gt;8, TIME(23,0,0) - (V19 - 1)/24, AS19)), "")</f>
        <v/>
      </c>
      <c r="CU19" s="124" t="str">
        <f t="shared" si="31"/>
        <v/>
      </c>
      <c r="CV19" s="124" t="str">
        <f>IF(ISNUMBER(W19),
IF(IsBold(W19), TIME(0,0,0),
IF(W19&gt;8, TIME(23,0,0) - (W19 - 1)/24, AS19)), "")</f>
        <v/>
      </c>
      <c r="CW19" s="124" t="str">
        <f t="shared" si="32"/>
        <v/>
      </c>
      <c r="CX19" s="124" t="str">
        <f>IF(ISNUMBER(X19),
IF(IsBold(X19), TIME(0,0,0),
IF(X19&gt;8, TIME(23,0,0) - (X19 - 1)/24, AS19)), "")</f>
        <v/>
      </c>
      <c r="CY19" s="124" t="str">
        <f t="shared" si="33"/>
        <v/>
      </c>
      <c r="CZ19" s="124" t="str">
        <f>IF(ISNUMBER(Y19),
IF(IsBold(Y19), TIME(0,0,0),
IF(Y19&gt;8, TIME(23,0,0) - (Y19 - 1)/24, AS19)), "")</f>
        <v/>
      </c>
      <c r="DA19" s="124" t="str">
        <f t="shared" si="34"/>
        <v/>
      </c>
      <c r="DB19" s="124" t="str">
        <f>IF(ISNUMBER(Z19),
IF(IsBold(Z19), TIME(0,0,0),
IF(Z19&gt;8, TIME(23,0,0) - (Z19 - 1)/24, AS19)), "")</f>
        <v/>
      </c>
      <c r="DC19" s="124" t="str">
        <f t="shared" si="35"/>
        <v/>
      </c>
      <c r="DD19" s="124" t="str">
        <f>IF(ISNUMBER(AA19),
IF(IsBold(AA19), TIME(0,0,0),
IF(AA19&gt;8, TIME(23,0,0) - (AA19 - 1)/24, AS19)), "")</f>
        <v/>
      </c>
      <c r="DE19" s="124" t="str">
        <f t="shared" si="36"/>
        <v/>
      </c>
      <c r="DF19" s="124" t="str">
        <f>IF(ISNUMBER(AB19),
IF(IsBold(AB19), TIME(0,0,0),
IF(AB19&gt;8, TIME(23,0,0) - (AB19 - 1)/24, AS19)), "")</f>
        <v/>
      </c>
      <c r="DG19" s="124" t="str">
        <f t="shared" si="37"/>
        <v/>
      </c>
      <c r="DH19" s="124" t="str">
        <f>IF(ISNUMBER(AC19),
IF(IsBold(AC19), TIME(0,0,0),
IF(AC19&gt;8, TIME(23,0,0) - (AC19 - 1)/24, AS19)), "")</f>
        <v/>
      </c>
      <c r="DI19" s="124" t="str">
        <f t="shared" si="38"/>
        <v/>
      </c>
      <c r="DJ19" s="124" t="str">
        <f>IF(ISNUMBER(AD19),
IF(IsBold(AD19), TIME(0,0,0),
IF(AD19&gt;8, TIME(23,0,0) - (AD19 - 1)/24, AS19)), "")</f>
        <v/>
      </c>
      <c r="DK19" s="124" t="str">
        <f t="shared" si="39"/>
        <v/>
      </c>
      <c r="DL19" s="124" t="str">
        <f>IF(ISNUMBER(AE19),
IF(IsBold(AE19), TIME(0,0,0),
IF(AE19&gt;8, TIME(23,0,0) - (AE19 - 1)/24, AS19)), "")</f>
        <v/>
      </c>
      <c r="DM19" s="124" t="str">
        <f t="shared" si="40"/>
        <v/>
      </c>
      <c r="DN19" s="124" t="str">
        <f>IF(ISNUMBER(AF19),
IF(IsBold(AF19), TIME(0,0,0),
IF(AF19&gt;8, TIME(23,0,0) - (AF19 - 1)/24, AS19)), "")</f>
        <v/>
      </c>
      <c r="DO19" s="124" t="str">
        <f t="shared" si="41"/>
        <v/>
      </c>
      <c r="DP19" s="124" t="str">
        <f>IF(ISNUMBER(AG19),
IF(IsBold(AG19), TIME(0,0,0),
IF(AG19&gt;8, TIME(23,0,0) - (AG19 - 1)/24, AS19)), "")</f>
        <v/>
      </c>
      <c r="DQ19" s="124" t="str">
        <f t="shared" si="42"/>
        <v/>
      </c>
      <c r="DR19" s="124" t="str">
        <f>IF(ISNUMBER(AH19),
IF(IsBold(AH19), TIME(0,0,0),
IF(AH19&gt;8, TIME(23,0,0) - (AH19 - 1)/24, AS19)), "")</f>
        <v/>
      </c>
      <c r="DS19" s="124" t="str">
        <f t="shared" si="43"/>
        <v/>
      </c>
      <c r="DT19" s="124" t="str">
        <f>IF(ISNUMBER(AI19),
IF(IsBold(AI19), TIME(0,0,0),
IF(AI19&gt;8, TIME(23,0,0) - (AI19 - 1)/24, AS19)), "")</f>
        <v/>
      </c>
      <c r="DU19" s="125" t="str">
        <f t="shared" si="44"/>
        <v/>
      </c>
      <c r="DV19" s="112">
        <f t="shared" si="45"/>
        <v>0</v>
      </c>
    </row>
    <row r="20" spans="1:126" x14ac:dyDescent="0.3">
      <c r="A20" s="12">
        <v>10</v>
      </c>
      <c r="B20" s="70"/>
      <c r="C20" s="60"/>
      <c r="D20" s="61"/>
      <c r="E20" s="57"/>
      <c r="F20" s="65"/>
      <c r="G20" s="66"/>
      <c r="H20" s="58"/>
      <c r="I20" s="65"/>
      <c r="J20" s="65"/>
      <c r="K20" s="66"/>
      <c r="L20" s="67"/>
      <c r="M20" s="65"/>
      <c r="N20" s="65"/>
      <c r="O20" s="66"/>
      <c r="P20" s="67"/>
      <c r="Q20" s="65"/>
      <c r="R20" s="65"/>
      <c r="S20" s="66"/>
      <c r="T20" s="67"/>
      <c r="U20" s="65"/>
      <c r="V20" s="65"/>
      <c r="W20" s="66"/>
      <c r="X20" s="67"/>
      <c r="Y20" s="65"/>
      <c r="Z20" s="65"/>
      <c r="AA20" s="66"/>
      <c r="AB20" s="67"/>
      <c r="AC20" s="65"/>
      <c r="AD20" s="65"/>
      <c r="AE20" s="66"/>
      <c r="AF20" s="67"/>
      <c r="AG20" s="57"/>
      <c r="AH20" s="57"/>
      <c r="AI20" s="57"/>
      <c r="AJ20" s="73">
        <f t="shared" si="1"/>
        <v>0</v>
      </c>
      <c r="AK20" s="74">
        <f t="shared" si="2"/>
        <v>0</v>
      </c>
      <c r="AL20" s="76">
        <f t="shared" si="3"/>
        <v>0</v>
      </c>
      <c r="AM20" s="74">
        <f t="shared" si="4"/>
        <v>0</v>
      </c>
      <c r="AN20" s="74">
        <f>SUM(CountWeekendDays(E10)+COUNTIF(E20:AI20,"С"))</f>
        <v>9</v>
      </c>
      <c r="AO20" s="77">
        <f t="shared" si="5"/>
        <v>0</v>
      </c>
      <c r="AP20" s="88">
        <f>(DAY(EOMONTH(E10, 0)) - AN20 - AK20) * AU20  * D20</f>
        <v>0</v>
      </c>
      <c r="AQ20" s="89">
        <f t="shared" si="49"/>
        <v>0</v>
      </c>
      <c r="AR20" s="90" t="e">
        <f t="shared" si="46"/>
        <v>#DIV/0!</v>
      </c>
      <c r="AS20" s="121">
        <v>0.33333333333333331</v>
      </c>
      <c r="AU20" s="28">
        <f t="shared" si="6"/>
        <v>7.7</v>
      </c>
      <c r="AV20" s="27"/>
      <c r="AW20" s="27"/>
      <c r="BA20" s="104">
        <f t="shared" si="7"/>
        <v>10</v>
      </c>
      <c r="BB20" s="105">
        <f t="shared" si="8"/>
        <v>0</v>
      </c>
      <c r="BC20" s="95">
        <f t="shared" si="9"/>
        <v>0</v>
      </c>
      <c r="BD20" s="118" t="str">
        <f>IF(ISNUMBER(E20),
IF(IsBold(E20), TIME(0,0,0),
IF(E20&gt;8, TIME(23,0,0) - (E20 - 1)/24, AS20)), "")</f>
        <v/>
      </c>
      <c r="BE20" s="78" t="str">
        <f t="shared" si="14"/>
        <v/>
      </c>
      <c r="BF20" s="78" t="str">
        <f>IF(ISNUMBER(F20),
IF(IsBold(F20), TIME(0,0,0),
IF(F20&gt;8, TIME(23,0,0) - (F20 - 1)/24, AS20)), "")</f>
        <v/>
      </c>
      <c r="BG20" s="78" t="str">
        <f t="shared" si="15"/>
        <v/>
      </c>
      <c r="BH20" s="78" t="str">
        <f>IF(ISNUMBER(G20),
IF(IsBold(G20), TIME(0,0,0),
IF(G20&gt;8, TIME(23,0,0) - (G20 - 1)/24, AS20)), "")</f>
        <v/>
      </c>
      <c r="BI20" s="78" t="str">
        <f t="shared" si="16"/>
        <v/>
      </c>
      <c r="BJ20" s="78" t="str">
        <f>IF(ISNUMBER(H20),
IF(IsBold(H20), TIME(0,0,0),
IF(H20&gt;8, TIME(23,0,0) - (H20 - 1)/24, AS20)), "")</f>
        <v/>
      </c>
      <c r="BK20" s="78" t="str">
        <f t="shared" si="17"/>
        <v/>
      </c>
      <c r="BL20" s="78" t="str">
        <f>IF(ISNUMBER(I20),
IF(IsBold(I20), TIME(0,0,0),
IF(I20&gt;8, TIME(23,0,0) - (I20 - 1)/24, AS20)), "")</f>
        <v/>
      </c>
      <c r="BM20" s="78" t="str">
        <f t="shared" si="18"/>
        <v/>
      </c>
      <c r="BN20" s="78" t="str">
        <f>IF(ISNUMBER(J20),
IF(IsBold(J20), TIME(0,0,0),
IF(J20&gt;8, TIME(23,0,0) - (J20 - 1)/24, AS20)), "")</f>
        <v/>
      </c>
      <c r="BO20" s="78" t="str">
        <f t="shared" si="19"/>
        <v/>
      </c>
      <c r="BP20" s="78" t="str">
        <f>IF(ISNUMBER(K20),
IF(IsBold(K20), TIME(0,0,0),
IF(K20&gt;8, TIME(23,0,0) - (K20 - 1)/24, AS20)), "")</f>
        <v/>
      </c>
      <c r="BQ20" s="78" t="str">
        <f t="shared" si="20"/>
        <v/>
      </c>
      <c r="BR20" s="78" t="str">
        <f>IF(ISNUMBER(L20),
IF(IsBold(L20), TIME(0,0,0),
IF(L20&gt;8, TIME(23,0,0) - (L20 - 1)/24, AS20)), "")</f>
        <v/>
      </c>
      <c r="BS20" s="78" t="str">
        <f t="shared" si="21"/>
        <v/>
      </c>
      <c r="BT20" s="78" t="str">
        <f>IF(ISNUMBER(M20),
IF(IsBold(M20), TIME(0,0,0),
IF(M20&gt;8, TIME(23,0,0) - (M20 - 1)/24, AS20)), "")</f>
        <v/>
      </c>
      <c r="BU20" s="78" t="str">
        <f t="shared" si="22"/>
        <v/>
      </c>
      <c r="BV20" s="78" t="str">
        <f>IF(ISNUMBER(N20),
IF(IsBold(N20), TIME(0,0,0),
IF(N20&gt;8, TIME(23,0,0) - (N20 - 1)/24, AS20)), "")</f>
        <v/>
      </c>
      <c r="BW20" s="78" t="str">
        <f t="shared" si="23"/>
        <v/>
      </c>
      <c r="BX20" s="78" t="str">
        <f>IF(ISNUMBER(O20),
IF(IsBold(O20), TIME(0,0,0),
IF(O20&gt;8, TIME(23,0,0) - (O20 - 1)/24, AS20)), "")</f>
        <v/>
      </c>
      <c r="BY20" s="78" t="str">
        <f t="shared" si="24"/>
        <v/>
      </c>
      <c r="BZ20" s="78" t="str">
        <f>IF(ISNUMBER(P20),
IF(IsBold(P20), TIME(0,0,0),
IF(P20&gt;8, TIME(23,0,0) - (P20 - 1)/24, AS20)), "")</f>
        <v/>
      </c>
      <c r="CA20" s="78" t="str">
        <f t="shared" si="25"/>
        <v/>
      </c>
      <c r="CB20" s="78" t="str">
        <f>IF(ISNUMBER(Q20),
IF(IsBold(Q20), TIME(0,0,0),
IF(Q20&gt;8, TIME(23,0,0) - (Q20 - 1)/24, AS20)), "")</f>
        <v/>
      </c>
      <c r="CC20" s="78" t="str">
        <f t="shared" si="26"/>
        <v/>
      </c>
      <c r="CD20" s="78" t="str">
        <f>IF(ISNUMBER(R20),
IF(IsBold(R20), TIME(0,0,0),
IF(R20&gt;8, TIME(23,0,0) - (R20 - 1)/24, AS20)), "")</f>
        <v/>
      </c>
      <c r="CE20" s="78" t="str">
        <f t="shared" si="27"/>
        <v/>
      </c>
      <c r="CF20" s="78" t="str">
        <f>IF(ISNUMBER(S20),
IF(IsBold(S20), TIME(0,0,0),
IF(S20&gt;8, TIME(23,0,0) - (S20 - 1)/24, AS20)), "")</f>
        <v/>
      </c>
      <c r="CG20" s="99" t="str">
        <f t="shared" si="28"/>
        <v/>
      </c>
      <c r="CM20" s="104">
        <f t="shared" si="10"/>
        <v>10</v>
      </c>
      <c r="CN20" s="106">
        <f t="shared" si="11"/>
        <v>0</v>
      </c>
      <c r="CO20" s="95">
        <f t="shared" si="12"/>
        <v>0</v>
      </c>
      <c r="CP20" s="123" t="str">
        <f>IF(ISNUMBER(T20),
IF(IsBold(T20), TIME(0,0,0),
IF(T20&gt;8, TIME(23,0,0) - (T20 - 1)/24, AS20)), "")</f>
        <v/>
      </c>
      <c r="CQ20" s="124" t="str">
        <f t="shared" si="29"/>
        <v/>
      </c>
      <c r="CR20" s="124" t="str">
        <f>IF(ISNUMBER(U20),
IF(IsBold(U20), TIME(0,0,0),
IF(U20&gt;8, TIME(23,0,0) - (U20 - 1)/24, AS20)), "")</f>
        <v/>
      </c>
      <c r="CS20" s="124" t="str">
        <f t="shared" si="30"/>
        <v/>
      </c>
      <c r="CT20" s="124" t="str">
        <f>IF(ISNUMBER(V20),
IF(IsBold(V20), TIME(0,0,0),
IF(V20&gt;8, TIME(23,0,0) - (V20 - 1)/24, AS20)), "")</f>
        <v/>
      </c>
      <c r="CU20" s="124" t="str">
        <f t="shared" si="31"/>
        <v/>
      </c>
      <c r="CV20" s="124" t="str">
        <f>IF(ISNUMBER(W20),
IF(IsBold(W20), TIME(0,0,0),
IF(W20&gt;8, TIME(23,0,0) - (W20 - 1)/24, AS20)), "")</f>
        <v/>
      </c>
      <c r="CW20" s="124" t="str">
        <f t="shared" si="32"/>
        <v/>
      </c>
      <c r="CX20" s="124" t="str">
        <f>IF(ISNUMBER(X20),
IF(IsBold(X20), TIME(0,0,0),
IF(X20&gt;8, TIME(23,0,0) - (X20 - 1)/24, AS20)), "")</f>
        <v/>
      </c>
      <c r="CY20" s="124" t="str">
        <f t="shared" si="33"/>
        <v/>
      </c>
      <c r="CZ20" s="124" t="str">
        <f>IF(ISNUMBER(Y20),
IF(IsBold(Y20), TIME(0,0,0),
IF(Y20&gt;8, TIME(23,0,0) - (Y20 - 1)/24, AS20)), "")</f>
        <v/>
      </c>
      <c r="DA20" s="124" t="str">
        <f t="shared" si="34"/>
        <v/>
      </c>
      <c r="DB20" s="124" t="str">
        <f>IF(ISNUMBER(Z20),
IF(IsBold(Z20), TIME(0,0,0),
IF(Z20&gt;8, TIME(23,0,0) - (Z20 - 1)/24, AS20)), "")</f>
        <v/>
      </c>
      <c r="DC20" s="124" t="str">
        <f t="shared" si="35"/>
        <v/>
      </c>
      <c r="DD20" s="124" t="str">
        <f>IF(ISNUMBER(AA20),
IF(IsBold(AA20), TIME(0,0,0),
IF(AA20&gt;8, TIME(23,0,0) - (AA20 - 1)/24, AS20)), "")</f>
        <v/>
      </c>
      <c r="DE20" s="124" t="str">
        <f t="shared" si="36"/>
        <v/>
      </c>
      <c r="DF20" s="124" t="str">
        <f>IF(ISNUMBER(AB20),
IF(IsBold(AB20), TIME(0,0,0),
IF(AB20&gt;8, TIME(23,0,0) - (AB20 - 1)/24, AS20)), "")</f>
        <v/>
      </c>
      <c r="DG20" s="124" t="str">
        <f t="shared" si="37"/>
        <v/>
      </c>
      <c r="DH20" s="124" t="str">
        <f>IF(ISNUMBER(AC20),
IF(IsBold(AC20), TIME(0,0,0),
IF(AC20&gt;8, TIME(23,0,0) - (AC20 - 1)/24, AS20)), "")</f>
        <v/>
      </c>
      <c r="DI20" s="124" t="str">
        <f t="shared" si="38"/>
        <v/>
      </c>
      <c r="DJ20" s="124" t="str">
        <f>IF(ISNUMBER(AD20),
IF(IsBold(AD20), TIME(0,0,0),
IF(AD20&gt;8, TIME(23,0,0) - (AD20 - 1)/24, AS20)), "")</f>
        <v/>
      </c>
      <c r="DK20" s="124" t="str">
        <f t="shared" si="39"/>
        <v/>
      </c>
      <c r="DL20" s="124" t="str">
        <f>IF(ISNUMBER(AE20),
IF(IsBold(AE20), TIME(0,0,0),
IF(AE20&gt;8, TIME(23,0,0) - (AE20 - 1)/24, AS20)), "")</f>
        <v/>
      </c>
      <c r="DM20" s="124" t="str">
        <f t="shared" si="40"/>
        <v/>
      </c>
      <c r="DN20" s="124" t="str">
        <f>IF(ISNUMBER(AF20),
IF(IsBold(AF20), TIME(0,0,0),
IF(AF20&gt;8, TIME(23,0,0) - (AF20 - 1)/24, AS20)), "")</f>
        <v/>
      </c>
      <c r="DO20" s="124" t="str">
        <f t="shared" si="41"/>
        <v/>
      </c>
      <c r="DP20" s="124" t="str">
        <f>IF(ISNUMBER(AG20),
IF(IsBold(AG20), TIME(0,0,0),
IF(AG20&gt;8, TIME(23,0,0) - (AG20 - 1)/24, AS20)), "")</f>
        <v/>
      </c>
      <c r="DQ20" s="124" t="str">
        <f t="shared" si="42"/>
        <v/>
      </c>
      <c r="DR20" s="124" t="str">
        <f>IF(ISNUMBER(AH20),
IF(IsBold(AH20), TIME(0,0,0),
IF(AH20&gt;8, TIME(23,0,0) - (AH20 - 1)/24, AS20)), "")</f>
        <v/>
      </c>
      <c r="DS20" s="124" t="str">
        <f t="shared" si="43"/>
        <v/>
      </c>
      <c r="DT20" s="124" t="str">
        <f>IF(ISNUMBER(AI20),
IF(IsBold(AI20), TIME(0,0,0),
IF(AI20&gt;8, TIME(23,0,0) - (AI20 - 1)/24, AS20)), "")</f>
        <v/>
      </c>
      <c r="DU20" s="125" t="str">
        <f t="shared" si="44"/>
        <v/>
      </c>
      <c r="DV20" s="112">
        <f t="shared" si="45"/>
        <v>0</v>
      </c>
    </row>
    <row r="21" spans="1:126" x14ac:dyDescent="0.3">
      <c r="A21" s="12">
        <v>11</v>
      </c>
      <c r="B21" s="71"/>
      <c r="C21" s="60"/>
      <c r="D21" s="61"/>
      <c r="E21" s="57"/>
      <c r="F21" s="65"/>
      <c r="G21" s="66"/>
      <c r="H21" s="67"/>
      <c r="I21" s="65"/>
      <c r="J21" s="65"/>
      <c r="K21" s="66"/>
      <c r="L21" s="67"/>
      <c r="M21" s="65"/>
      <c r="N21" s="65"/>
      <c r="O21" s="66"/>
      <c r="P21" s="67"/>
      <c r="Q21" s="65"/>
      <c r="R21" s="65"/>
      <c r="S21" s="66"/>
      <c r="T21" s="67"/>
      <c r="U21" s="65"/>
      <c r="V21" s="65"/>
      <c r="W21" s="66"/>
      <c r="X21" s="67"/>
      <c r="Y21" s="65"/>
      <c r="Z21" s="65"/>
      <c r="AA21" s="66"/>
      <c r="AB21" s="67"/>
      <c r="AC21" s="65"/>
      <c r="AD21" s="65"/>
      <c r="AE21" s="66"/>
      <c r="AF21" s="67"/>
      <c r="AG21" s="57"/>
      <c r="AH21" s="57"/>
      <c r="AI21" s="57"/>
      <c r="AJ21" s="73">
        <f t="shared" si="1"/>
        <v>0</v>
      </c>
      <c r="AK21" s="74">
        <f t="shared" si="2"/>
        <v>0</v>
      </c>
      <c r="AL21" s="76">
        <f t="shared" si="3"/>
        <v>0</v>
      </c>
      <c r="AM21" s="74">
        <f t="shared" si="4"/>
        <v>0</v>
      </c>
      <c r="AN21" s="74">
        <f>SUM(CountWeekendDays(E10)+COUNTIF(E21:AI21,"С"))</f>
        <v>9</v>
      </c>
      <c r="AO21" s="77">
        <f t="shared" si="5"/>
        <v>0</v>
      </c>
      <c r="AP21" s="88">
        <f>(DAY(EOMONTH(E10, 0)) - AN21 - AK21) * AU21  * D21</f>
        <v>0</v>
      </c>
      <c r="AQ21" s="89">
        <f t="shared" si="49"/>
        <v>0</v>
      </c>
      <c r="AR21" s="90" t="e">
        <f t="shared" si="46"/>
        <v>#DIV/0!</v>
      </c>
      <c r="AS21" s="121">
        <v>0.33333333333333331</v>
      </c>
      <c r="AU21" s="28">
        <f t="shared" si="6"/>
        <v>7.7</v>
      </c>
      <c r="AV21" s="27"/>
      <c r="AW21" s="27"/>
      <c r="BA21" s="104">
        <f t="shared" si="7"/>
        <v>11</v>
      </c>
      <c r="BB21" s="105">
        <f t="shared" si="8"/>
        <v>0</v>
      </c>
      <c r="BC21" s="95">
        <f t="shared" si="9"/>
        <v>0</v>
      </c>
      <c r="BD21" s="118" t="str">
        <f>IF(ISNUMBER(E21),
IF(IsBold(E21), TIME(0,0,0),
IF(E21&gt;8, TIME(23,0,0) - (E21 - 1)/24, AS21)), "")</f>
        <v/>
      </c>
      <c r="BE21" s="78" t="str">
        <f t="shared" si="14"/>
        <v/>
      </c>
      <c r="BF21" s="78" t="str">
        <f>IF(ISNUMBER(F21),
IF(IsBold(F21), TIME(0,0,0),
IF(F21&gt;8, TIME(23,0,0) - (F21 - 1)/24, AS21)), "")</f>
        <v/>
      </c>
      <c r="BG21" s="78" t="str">
        <f t="shared" si="15"/>
        <v/>
      </c>
      <c r="BH21" s="78" t="str">
        <f>IF(ISNUMBER(G21),
IF(IsBold(G21), TIME(0,0,0),
IF(G21&gt;8, TIME(23,0,0) - (G21 - 1)/24, AS21)), "")</f>
        <v/>
      </c>
      <c r="BI21" s="78" t="str">
        <f t="shared" si="16"/>
        <v/>
      </c>
      <c r="BJ21" s="78" t="str">
        <f>IF(ISNUMBER(H21),
IF(IsBold(H21), TIME(0,0,0),
IF(H21&gt;8, TIME(23,0,0) - (H21 - 1)/24, AS21)), "")</f>
        <v/>
      </c>
      <c r="BK21" s="78" t="str">
        <f t="shared" si="17"/>
        <v/>
      </c>
      <c r="BL21" s="78" t="str">
        <f>IF(ISNUMBER(I21),
IF(IsBold(I21), TIME(0,0,0),
IF(I21&gt;8, TIME(23,0,0) - (I21 - 1)/24, AS21)), "")</f>
        <v/>
      </c>
      <c r="BM21" s="78" t="str">
        <f t="shared" si="18"/>
        <v/>
      </c>
      <c r="BN21" s="78" t="str">
        <f>IF(ISNUMBER(J21),
IF(IsBold(J21), TIME(0,0,0),
IF(J21&gt;8, TIME(23,0,0) - (J21 - 1)/24, AS21)), "")</f>
        <v/>
      </c>
      <c r="BO21" s="78" t="str">
        <f t="shared" si="19"/>
        <v/>
      </c>
      <c r="BP21" s="78" t="str">
        <f>IF(ISNUMBER(K21),
IF(IsBold(K21), TIME(0,0,0),
IF(K21&gt;8, TIME(23,0,0) - (K21 - 1)/24, AS21)), "")</f>
        <v/>
      </c>
      <c r="BQ21" s="78" t="str">
        <f t="shared" si="20"/>
        <v/>
      </c>
      <c r="BR21" s="78" t="str">
        <f>IF(ISNUMBER(L21),
IF(IsBold(L21), TIME(0,0,0),
IF(L21&gt;8, TIME(23,0,0) - (L21 - 1)/24, AS21)), "")</f>
        <v/>
      </c>
      <c r="BS21" s="78" t="str">
        <f t="shared" si="21"/>
        <v/>
      </c>
      <c r="BT21" s="78" t="str">
        <f>IF(ISNUMBER(M21),
IF(IsBold(M21), TIME(0,0,0),
IF(M21&gt;8, TIME(23,0,0) - (M21 - 1)/24, AS21)), "")</f>
        <v/>
      </c>
      <c r="BU21" s="78" t="str">
        <f t="shared" si="22"/>
        <v/>
      </c>
      <c r="BV21" s="78" t="str">
        <f>IF(ISNUMBER(N21),
IF(IsBold(N21), TIME(0,0,0),
IF(N21&gt;8, TIME(23,0,0) - (N21 - 1)/24, AS21)), "")</f>
        <v/>
      </c>
      <c r="BW21" s="78" t="str">
        <f t="shared" si="23"/>
        <v/>
      </c>
      <c r="BX21" s="78" t="str">
        <f>IF(ISNUMBER(O21),
IF(IsBold(O21), TIME(0,0,0),
IF(O21&gt;8, TIME(23,0,0) - (O21 - 1)/24, AS21)), "")</f>
        <v/>
      </c>
      <c r="BY21" s="78" t="str">
        <f t="shared" si="24"/>
        <v/>
      </c>
      <c r="BZ21" s="78" t="str">
        <f>IF(ISNUMBER(P21),
IF(IsBold(P21), TIME(0,0,0),
IF(P21&gt;8, TIME(23,0,0) - (P21 - 1)/24, AS21)), "")</f>
        <v/>
      </c>
      <c r="CA21" s="78" t="str">
        <f t="shared" si="25"/>
        <v/>
      </c>
      <c r="CB21" s="78" t="str">
        <f>IF(ISNUMBER(Q21),
IF(IsBold(Q21), TIME(0,0,0),
IF(Q21&gt;8, TIME(23,0,0) - (Q21 - 1)/24, AS21)), "")</f>
        <v/>
      </c>
      <c r="CC21" s="78" t="str">
        <f t="shared" si="26"/>
        <v/>
      </c>
      <c r="CD21" s="78" t="str">
        <f>IF(ISNUMBER(R21),
IF(IsBold(R21), TIME(0,0,0),
IF(R21&gt;8, TIME(23,0,0) - (R21 - 1)/24, AS21)), "")</f>
        <v/>
      </c>
      <c r="CE21" s="78" t="str">
        <f t="shared" si="27"/>
        <v/>
      </c>
      <c r="CF21" s="78" t="str">
        <f>IF(ISNUMBER(S21),
IF(IsBold(S21), TIME(0,0,0),
IF(S21&gt;8, TIME(23,0,0) - (S21 - 1)/24, AS21)), "")</f>
        <v/>
      </c>
      <c r="CG21" s="99" t="str">
        <f t="shared" si="28"/>
        <v/>
      </c>
      <c r="CM21" s="104">
        <f t="shared" si="10"/>
        <v>11</v>
      </c>
      <c r="CN21" s="106">
        <f t="shared" si="11"/>
        <v>0</v>
      </c>
      <c r="CO21" s="95">
        <f t="shared" si="12"/>
        <v>0</v>
      </c>
      <c r="CP21" s="123" t="str">
        <f>IF(ISNUMBER(T21),
IF(IsBold(T21), TIME(0,0,0),
IF(T21&gt;8, TIME(23,0,0) - (T21 - 1)/24, AS21)), "")</f>
        <v/>
      </c>
      <c r="CQ21" s="124" t="str">
        <f t="shared" si="29"/>
        <v/>
      </c>
      <c r="CR21" s="124" t="str">
        <f>IF(ISNUMBER(U21),
IF(IsBold(U21), TIME(0,0,0),
IF(U21&gt;8, TIME(23,0,0) - (U21 - 1)/24, AS21)), "")</f>
        <v/>
      </c>
      <c r="CS21" s="124" t="str">
        <f t="shared" si="30"/>
        <v/>
      </c>
      <c r="CT21" s="124" t="str">
        <f>IF(ISNUMBER(V21),
IF(IsBold(V21), TIME(0,0,0),
IF(V21&gt;8, TIME(23,0,0) - (V21 - 1)/24, AS21)), "")</f>
        <v/>
      </c>
      <c r="CU21" s="124" t="str">
        <f t="shared" si="31"/>
        <v/>
      </c>
      <c r="CV21" s="124" t="str">
        <f>IF(ISNUMBER(W21),
IF(IsBold(W21), TIME(0,0,0),
IF(W21&gt;8, TIME(23,0,0) - (W21 - 1)/24, AS21)), "")</f>
        <v/>
      </c>
      <c r="CW21" s="124" t="str">
        <f t="shared" si="32"/>
        <v/>
      </c>
      <c r="CX21" s="124" t="str">
        <f>IF(ISNUMBER(X21),
IF(IsBold(X21), TIME(0,0,0),
IF(X21&gt;8, TIME(23,0,0) - (X21 - 1)/24, AS21)), "")</f>
        <v/>
      </c>
      <c r="CY21" s="124" t="str">
        <f t="shared" si="33"/>
        <v/>
      </c>
      <c r="CZ21" s="124" t="str">
        <f>IF(ISNUMBER(Y21),
IF(IsBold(Y21), TIME(0,0,0),
IF(Y21&gt;8, TIME(23,0,0) - (Y21 - 1)/24, AS21)), "")</f>
        <v/>
      </c>
      <c r="DA21" s="124" t="str">
        <f t="shared" si="34"/>
        <v/>
      </c>
      <c r="DB21" s="124" t="str">
        <f>IF(ISNUMBER(Z21),
IF(IsBold(Z21), TIME(0,0,0),
IF(Z21&gt;8, TIME(23,0,0) - (Z21 - 1)/24, AS21)), "")</f>
        <v/>
      </c>
      <c r="DC21" s="124" t="str">
        <f t="shared" si="35"/>
        <v/>
      </c>
      <c r="DD21" s="124" t="str">
        <f>IF(ISNUMBER(AA21),
IF(IsBold(AA21), TIME(0,0,0),
IF(AA21&gt;8, TIME(23,0,0) - (AA21 - 1)/24, AS21)), "")</f>
        <v/>
      </c>
      <c r="DE21" s="124" t="str">
        <f t="shared" si="36"/>
        <v/>
      </c>
      <c r="DF21" s="124" t="str">
        <f>IF(ISNUMBER(AB21),
IF(IsBold(AB21), TIME(0,0,0),
IF(AB21&gt;8, TIME(23,0,0) - (AB21 - 1)/24, AS21)), "")</f>
        <v/>
      </c>
      <c r="DG21" s="124" t="str">
        <f t="shared" si="37"/>
        <v/>
      </c>
      <c r="DH21" s="124" t="str">
        <f>IF(ISNUMBER(AC21),
IF(IsBold(AC21), TIME(0,0,0),
IF(AC21&gt;8, TIME(23,0,0) - (AC21 - 1)/24, AS21)), "")</f>
        <v/>
      </c>
      <c r="DI21" s="124" t="str">
        <f t="shared" si="38"/>
        <v/>
      </c>
      <c r="DJ21" s="124" t="str">
        <f>IF(ISNUMBER(AD21),
IF(IsBold(AD21), TIME(0,0,0),
IF(AD21&gt;8, TIME(23,0,0) - (AD21 - 1)/24, AS21)), "")</f>
        <v/>
      </c>
      <c r="DK21" s="124" t="str">
        <f t="shared" si="39"/>
        <v/>
      </c>
      <c r="DL21" s="124" t="str">
        <f>IF(ISNUMBER(AE21),
IF(IsBold(AE21), TIME(0,0,0),
IF(AE21&gt;8, TIME(23,0,0) - (AE21 - 1)/24, AS21)), "")</f>
        <v/>
      </c>
      <c r="DM21" s="124" t="str">
        <f t="shared" si="40"/>
        <v/>
      </c>
      <c r="DN21" s="124" t="str">
        <f>IF(ISNUMBER(AF21),
IF(IsBold(AF21), TIME(0,0,0),
IF(AF21&gt;8, TIME(23,0,0) - (AF21 - 1)/24, AS21)), "")</f>
        <v/>
      </c>
      <c r="DO21" s="124" t="str">
        <f t="shared" si="41"/>
        <v/>
      </c>
      <c r="DP21" s="124" t="str">
        <f>IF(ISNUMBER(AG21),
IF(IsBold(AG21), TIME(0,0,0),
IF(AG21&gt;8, TIME(23,0,0) - (AG21 - 1)/24, AS21)), "")</f>
        <v/>
      </c>
      <c r="DQ21" s="124" t="str">
        <f t="shared" si="42"/>
        <v/>
      </c>
      <c r="DR21" s="124" t="str">
        <f>IF(ISNUMBER(AH21),
IF(IsBold(AH21), TIME(0,0,0),
IF(AH21&gt;8, TIME(23,0,0) - (AH21 - 1)/24, AS21)), "")</f>
        <v/>
      </c>
      <c r="DS21" s="124" t="str">
        <f t="shared" si="43"/>
        <v/>
      </c>
      <c r="DT21" s="124" t="str">
        <f>IF(ISNUMBER(AI21),
IF(IsBold(AI21), TIME(0,0,0),
IF(AI21&gt;8, TIME(23,0,0) - (AI21 - 1)/24, AS21)), "")</f>
        <v/>
      </c>
      <c r="DU21" s="125" t="str">
        <f t="shared" si="44"/>
        <v/>
      </c>
      <c r="DV21" s="112">
        <f t="shared" si="45"/>
        <v>0</v>
      </c>
    </row>
    <row r="22" spans="1:126" x14ac:dyDescent="0.3">
      <c r="A22" s="12">
        <v>12</v>
      </c>
      <c r="B22" s="59"/>
      <c r="C22" s="60"/>
      <c r="D22" s="61"/>
      <c r="E22" s="57"/>
      <c r="F22" s="65"/>
      <c r="G22" s="66"/>
      <c r="H22" s="67"/>
      <c r="I22" s="65"/>
      <c r="J22" s="65"/>
      <c r="K22" s="66"/>
      <c r="L22" s="67"/>
      <c r="M22" s="65"/>
      <c r="N22" s="65"/>
      <c r="O22" s="66"/>
      <c r="P22" s="67"/>
      <c r="Q22" s="65"/>
      <c r="R22" s="65"/>
      <c r="S22" s="66"/>
      <c r="T22" s="67"/>
      <c r="U22" s="65"/>
      <c r="V22" s="65"/>
      <c r="W22" s="66"/>
      <c r="X22" s="67"/>
      <c r="Y22" s="65"/>
      <c r="Z22" s="65"/>
      <c r="AA22" s="66"/>
      <c r="AB22" s="67"/>
      <c r="AC22" s="65"/>
      <c r="AD22" s="65"/>
      <c r="AE22" s="66"/>
      <c r="AF22" s="67"/>
      <c r="AG22" s="57"/>
      <c r="AH22" s="57"/>
      <c r="AI22" s="57"/>
      <c r="AJ22" s="73">
        <f t="shared" si="1"/>
        <v>0</v>
      </c>
      <c r="AK22" s="74">
        <f t="shared" si="2"/>
        <v>0</v>
      </c>
      <c r="AL22" s="76">
        <f t="shared" si="3"/>
        <v>0</v>
      </c>
      <c r="AM22" s="74">
        <f t="shared" si="4"/>
        <v>0</v>
      </c>
      <c r="AN22" s="74">
        <f>SUM(CountWeekendDays(E10)+COUNTIF(E22:AI22,"С"))</f>
        <v>9</v>
      </c>
      <c r="AO22" s="77">
        <f t="shared" si="5"/>
        <v>0</v>
      </c>
      <c r="AP22" s="88">
        <f>(DAY(EOMONTH(E10, 0)) - AN22 - AK22) * AU22  * D22</f>
        <v>0</v>
      </c>
      <c r="AQ22" s="89">
        <f t="shared" si="49"/>
        <v>0</v>
      </c>
      <c r="AR22" s="90" t="e">
        <f t="shared" si="46"/>
        <v>#DIV/0!</v>
      </c>
      <c r="AS22" s="121">
        <v>0.33333333333333331</v>
      </c>
      <c r="AU22" s="28">
        <f t="shared" si="6"/>
        <v>7.7</v>
      </c>
      <c r="AV22" s="27"/>
      <c r="AW22" s="27"/>
      <c r="BA22" s="104">
        <f t="shared" si="7"/>
        <v>12</v>
      </c>
      <c r="BB22" s="105">
        <f t="shared" si="8"/>
        <v>0</v>
      </c>
      <c r="BC22" s="95">
        <f t="shared" si="9"/>
        <v>0</v>
      </c>
      <c r="BD22" s="118" t="str">
        <f>IF(ISNUMBER(E22),
IF(IsBold(E22), TIME(0,0,0),
IF(E22&gt;8, TIME(23,0,0) - (E22 - 1)/24, AS22)), "")</f>
        <v/>
      </c>
      <c r="BE22" s="78" t="str">
        <f t="shared" si="14"/>
        <v/>
      </c>
      <c r="BF22" s="78" t="str">
        <f>IF(ISNUMBER(F22),
IF(IsBold(F22), TIME(0,0,0),
IF(F22&gt;8, TIME(23,0,0) - (F22 - 1)/24, AS22)), "")</f>
        <v/>
      </c>
      <c r="BG22" s="78" t="str">
        <f t="shared" si="15"/>
        <v/>
      </c>
      <c r="BH22" s="78" t="str">
        <f>IF(ISNUMBER(G22),
IF(IsBold(G22), TIME(0,0,0),
IF(G22&gt;8, TIME(23,0,0) - (G22 - 1)/24, AS22)), "")</f>
        <v/>
      </c>
      <c r="BI22" s="78" t="str">
        <f t="shared" si="16"/>
        <v/>
      </c>
      <c r="BJ22" s="78" t="str">
        <f>IF(ISNUMBER(H22),
IF(IsBold(H22), TIME(0,0,0),
IF(H22&gt;8, TIME(23,0,0) - (H22 - 1)/24, AS22)), "")</f>
        <v/>
      </c>
      <c r="BK22" s="78" t="str">
        <f t="shared" si="17"/>
        <v/>
      </c>
      <c r="BL22" s="78" t="str">
        <f>IF(ISNUMBER(I22),
IF(IsBold(I22), TIME(0,0,0),
IF(I22&gt;8, TIME(23,0,0) - (I22 - 1)/24, AS22)), "")</f>
        <v/>
      </c>
      <c r="BM22" s="78" t="str">
        <f t="shared" si="18"/>
        <v/>
      </c>
      <c r="BN22" s="78" t="str">
        <f>IF(ISNUMBER(J22),
IF(IsBold(J22), TIME(0,0,0),
IF(J22&gt;8, TIME(23,0,0) - (J22 - 1)/24, AS22)), "")</f>
        <v/>
      </c>
      <c r="BO22" s="78" t="str">
        <f t="shared" si="19"/>
        <v/>
      </c>
      <c r="BP22" s="78" t="str">
        <f>IF(ISNUMBER(K22),
IF(IsBold(K22), TIME(0,0,0),
IF(K22&gt;8, TIME(23,0,0) - (K22 - 1)/24, AS22)), "")</f>
        <v/>
      </c>
      <c r="BQ22" s="78" t="str">
        <f t="shared" si="20"/>
        <v/>
      </c>
      <c r="BR22" s="78" t="str">
        <f>IF(ISNUMBER(L22),
IF(IsBold(L22), TIME(0,0,0),
IF(L22&gt;8, TIME(23,0,0) - (L22 - 1)/24, AS22)), "")</f>
        <v/>
      </c>
      <c r="BS22" s="78" t="str">
        <f t="shared" si="21"/>
        <v/>
      </c>
      <c r="BT22" s="78" t="str">
        <f>IF(ISNUMBER(M22),
IF(IsBold(M22), TIME(0,0,0),
IF(M22&gt;8, TIME(23,0,0) - (M22 - 1)/24, AS22)), "")</f>
        <v/>
      </c>
      <c r="BU22" s="78" t="str">
        <f t="shared" si="22"/>
        <v/>
      </c>
      <c r="BV22" s="78" t="str">
        <f>IF(ISNUMBER(N22),
IF(IsBold(N22), TIME(0,0,0),
IF(N22&gt;8, TIME(23,0,0) - (N22 - 1)/24, AS22)), "")</f>
        <v/>
      </c>
      <c r="BW22" s="78" t="str">
        <f t="shared" si="23"/>
        <v/>
      </c>
      <c r="BX22" s="78" t="str">
        <f>IF(ISNUMBER(O22),
IF(IsBold(O22), TIME(0,0,0),
IF(O22&gt;8, TIME(23,0,0) - (O22 - 1)/24, AS22)), "")</f>
        <v/>
      </c>
      <c r="BY22" s="78" t="str">
        <f t="shared" si="24"/>
        <v/>
      </c>
      <c r="BZ22" s="78" t="str">
        <f>IF(ISNUMBER(P22),
IF(IsBold(P22), TIME(0,0,0),
IF(P22&gt;8, TIME(23,0,0) - (P22 - 1)/24, AS22)), "")</f>
        <v/>
      </c>
      <c r="CA22" s="78" t="str">
        <f t="shared" si="25"/>
        <v/>
      </c>
      <c r="CB22" s="78" t="str">
        <f>IF(ISNUMBER(Q22),
IF(IsBold(Q22), TIME(0,0,0),
IF(Q22&gt;8, TIME(23,0,0) - (Q22 - 1)/24, AS22)), "")</f>
        <v/>
      </c>
      <c r="CC22" s="78" t="str">
        <f t="shared" si="26"/>
        <v/>
      </c>
      <c r="CD22" s="78" t="str">
        <f>IF(ISNUMBER(R22),
IF(IsBold(R22), TIME(0,0,0),
IF(R22&gt;8, TIME(23,0,0) - (R22 - 1)/24, AS22)), "")</f>
        <v/>
      </c>
      <c r="CE22" s="78" t="str">
        <f t="shared" si="27"/>
        <v/>
      </c>
      <c r="CF22" s="78" t="str">
        <f>IF(ISNUMBER(S22),
IF(IsBold(S22), TIME(0,0,0),
IF(S22&gt;8, TIME(23,0,0) - (S22 - 1)/24, AS22)), "")</f>
        <v/>
      </c>
      <c r="CG22" s="99" t="str">
        <f t="shared" si="28"/>
        <v/>
      </c>
      <c r="CM22" s="104">
        <f t="shared" si="10"/>
        <v>12</v>
      </c>
      <c r="CN22" s="106">
        <f t="shared" si="11"/>
        <v>0</v>
      </c>
      <c r="CO22" s="95">
        <f t="shared" si="12"/>
        <v>0</v>
      </c>
      <c r="CP22" s="123" t="str">
        <f>IF(ISNUMBER(T22),
IF(IsBold(T22), TIME(0,0,0),
IF(T22&gt;8, TIME(23,0,0) - (T22 - 1)/24, AS22)), "")</f>
        <v/>
      </c>
      <c r="CQ22" s="124" t="str">
        <f t="shared" si="29"/>
        <v/>
      </c>
      <c r="CR22" s="124" t="str">
        <f>IF(ISNUMBER(U22),
IF(IsBold(U22), TIME(0,0,0),
IF(U22&gt;8, TIME(23,0,0) - (U22 - 1)/24, AS22)), "")</f>
        <v/>
      </c>
      <c r="CS22" s="124" t="str">
        <f t="shared" si="30"/>
        <v/>
      </c>
      <c r="CT22" s="124" t="str">
        <f>IF(ISNUMBER(V22),
IF(IsBold(V22), TIME(0,0,0),
IF(V22&gt;8, TIME(23,0,0) - (V22 - 1)/24, AS22)), "")</f>
        <v/>
      </c>
      <c r="CU22" s="124" t="str">
        <f t="shared" si="31"/>
        <v/>
      </c>
      <c r="CV22" s="124" t="str">
        <f>IF(ISNUMBER(W22),
IF(IsBold(W22), TIME(0,0,0),
IF(W22&gt;8, TIME(23,0,0) - (W22 - 1)/24, AS22)), "")</f>
        <v/>
      </c>
      <c r="CW22" s="124" t="str">
        <f t="shared" si="32"/>
        <v/>
      </c>
      <c r="CX22" s="124" t="str">
        <f>IF(ISNUMBER(X22),
IF(IsBold(X22), TIME(0,0,0),
IF(X22&gt;8, TIME(23,0,0) - (X22 - 1)/24, AS22)), "")</f>
        <v/>
      </c>
      <c r="CY22" s="124" t="str">
        <f t="shared" si="33"/>
        <v/>
      </c>
      <c r="CZ22" s="124" t="str">
        <f>IF(ISNUMBER(Y22),
IF(IsBold(Y22), TIME(0,0,0),
IF(Y22&gt;8, TIME(23,0,0) - (Y22 - 1)/24, AS22)), "")</f>
        <v/>
      </c>
      <c r="DA22" s="124" t="str">
        <f t="shared" si="34"/>
        <v/>
      </c>
      <c r="DB22" s="124" t="str">
        <f>IF(ISNUMBER(Z22),
IF(IsBold(Z22), TIME(0,0,0),
IF(Z22&gt;8, TIME(23,0,0) - (Z22 - 1)/24, AS22)), "")</f>
        <v/>
      </c>
      <c r="DC22" s="124" t="str">
        <f t="shared" si="35"/>
        <v/>
      </c>
      <c r="DD22" s="124" t="str">
        <f>IF(ISNUMBER(AA22),
IF(IsBold(AA22), TIME(0,0,0),
IF(AA22&gt;8, TIME(23,0,0) - (AA22 - 1)/24, AS22)), "")</f>
        <v/>
      </c>
      <c r="DE22" s="124" t="str">
        <f t="shared" si="36"/>
        <v/>
      </c>
      <c r="DF22" s="124" t="str">
        <f>IF(ISNUMBER(AB22),
IF(IsBold(AB22), TIME(0,0,0),
IF(AB22&gt;8, TIME(23,0,0) - (AB22 - 1)/24, AS22)), "")</f>
        <v/>
      </c>
      <c r="DG22" s="124" t="str">
        <f t="shared" si="37"/>
        <v/>
      </c>
      <c r="DH22" s="124" t="str">
        <f>IF(ISNUMBER(AC22),
IF(IsBold(AC22), TIME(0,0,0),
IF(AC22&gt;8, TIME(23,0,0) - (AC22 - 1)/24, AS22)), "")</f>
        <v/>
      </c>
      <c r="DI22" s="124" t="str">
        <f t="shared" si="38"/>
        <v/>
      </c>
      <c r="DJ22" s="124" t="str">
        <f>IF(ISNUMBER(AD22),
IF(IsBold(AD22), TIME(0,0,0),
IF(AD22&gt;8, TIME(23,0,0) - (AD22 - 1)/24, AS22)), "")</f>
        <v/>
      </c>
      <c r="DK22" s="124" t="str">
        <f t="shared" si="39"/>
        <v/>
      </c>
      <c r="DL22" s="124" t="str">
        <f>IF(ISNUMBER(AE22),
IF(IsBold(AE22), TIME(0,0,0),
IF(AE22&gt;8, TIME(23,0,0) - (AE22 - 1)/24, AS22)), "")</f>
        <v/>
      </c>
      <c r="DM22" s="124" t="str">
        <f t="shared" si="40"/>
        <v/>
      </c>
      <c r="DN22" s="124" t="str">
        <f>IF(ISNUMBER(AF22),
IF(IsBold(AF22), TIME(0,0,0),
IF(AF22&gt;8, TIME(23,0,0) - (AF22 - 1)/24, AS22)), "")</f>
        <v/>
      </c>
      <c r="DO22" s="124" t="str">
        <f t="shared" si="41"/>
        <v/>
      </c>
      <c r="DP22" s="124" t="str">
        <f>IF(ISNUMBER(AG22),
IF(IsBold(AG22), TIME(0,0,0),
IF(AG22&gt;8, TIME(23,0,0) - (AG22 - 1)/24, AS22)), "")</f>
        <v/>
      </c>
      <c r="DQ22" s="124" t="str">
        <f t="shared" si="42"/>
        <v/>
      </c>
      <c r="DR22" s="124" t="str">
        <f>IF(ISNUMBER(AH22),
IF(IsBold(AH22), TIME(0,0,0),
IF(AH22&gt;8, TIME(23,0,0) - (AH22 - 1)/24, AS22)), "")</f>
        <v/>
      </c>
      <c r="DS22" s="124" t="str">
        <f t="shared" si="43"/>
        <v/>
      </c>
      <c r="DT22" s="124" t="str">
        <f>IF(ISNUMBER(AI22),
IF(IsBold(AI22), TIME(0,0,0),
IF(AI22&gt;8, TIME(23,0,0) - (AI22 - 1)/24, AS22)), "")</f>
        <v/>
      </c>
      <c r="DU22" s="125" t="str">
        <f t="shared" si="44"/>
        <v/>
      </c>
      <c r="DV22" s="112">
        <f t="shared" si="45"/>
        <v>0</v>
      </c>
    </row>
    <row r="23" spans="1:126" x14ac:dyDescent="0.3">
      <c r="A23" s="12">
        <v>13</v>
      </c>
      <c r="B23" s="59"/>
      <c r="C23" s="60"/>
      <c r="D23" s="61"/>
      <c r="E23" s="57"/>
      <c r="F23" s="65"/>
      <c r="G23" s="66"/>
      <c r="H23" s="67"/>
      <c r="I23" s="65"/>
      <c r="J23" s="65"/>
      <c r="K23" s="66"/>
      <c r="L23" s="67"/>
      <c r="M23" s="65"/>
      <c r="N23" s="65"/>
      <c r="O23" s="66"/>
      <c r="P23" s="67"/>
      <c r="Q23" s="65"/>
      <c r="R23" s="65"/>
      <c r="S23" s="66"/>
      <c r="T23" s="67"/>
      <c r="U23" s="65"/>
      <c r="V23" s="65"/>
      <c r="W23" s="66"/>
      <c r="X23" s="67"/>
      <c r="Y23" s="65"/>
      <c r="Z23" s="65"/>
      <c r="AA23" s="66"/>
      <c r="AB23" s="67"/>
      <c r="AC23" s="65"/>
      <c r="AD23" s="65"/>
      <c r="AE23" s="66"/>
      <c r="AF23" s="67"/>
      <c r="AG23" s="57"/>
      <c r="AH23" s="57"/>
      <c r="AI23" s="57"/>
      <c r="AJ23" s="73">
        <f t="shared" si="1"/>
        <v>0</v>
      </c>
      <c r="AK23" s="74">
        <f t="shared" si="2"/>
        <v>0</v>
      </c>
      <c r="AL23" s="76">
        <f t="shared" si="3"/>
        <v>0</v>
      </c>
      <c r="AM23" s="74">
        <f t="shared" si="4"/>
        <v>0</v>
      </c>
      <c r="AN23" s="74">
        <f>SUM(CountWeekendDays(E10)+COUNTIF(E23:AI23,"С"))</f>
        <v>9</v>
      </c>
      <c r="AO23" s="77">
        <f t="shared" si="5"/>
        <v>0</v>
      </c>
      <c r="AP23" s="88">
        <f>(DAY(EOMONTH(E10, 0)) - AN23 - AK23) * AU23  * D23</f>
        <v>0</v>
      </c>
      <c r="AQ23" s="89">
        <f t="shared" si="49"/>
        <v>0</v>
      </c>
      <c r="AR23" s="90" t="e">
        <f t="shared" si="46"/>
        <v>#DIV/0!</v>
      </c>
      <c r="AS23" s="121">
        <v>0.33333333333333331</v>
      </c>
      <c r="AU23" s="28">
        <f t="shared" si="6"/>
        <v>7.7</v>
      </c>
      <c r="AV23" s="27"/>
      <c r="AW23" s="27"/>
      <c r="BA23" s="104">
        <f t="shared" si="7"/>
        <v>13</v>
      </c>
      <c r="BB23" s="105">
        <f t="shared" si="8"/>
        <v>0</v>
      </c>
      <c r="BC23" s="95">
        <f t="shared" si="9"/>
        <v>0</v>
      </c>
      <c r="BD23" s="118" t="str">
        <f>IF(ISNUMBER(E23),
IF(IsBold(E23), TIME(0,0,0),
IF(E23&gt;8, TIME(23,0,0) - (E23 - 1)/24, AS23)), "")</f>
        <v/>
      </c>
      <c r="BE23" s="78" t="str">
        <f t="shared" si="14"/>
        <v/>
      </c>
      <c r="BF23" s="78" t="str">
        <f>IF(ISNUMBER(F23),
IF(IsBold(F23), TIME(0,0,0),
IF(F23&gt;8, TIME(23,0,0) - (F23 - 1)/24, AS23)), "")</f>
        <v/>
      </c>
      <c r="BG23" s="78" t="str">
        <f t="shared" si="15"/>
        <v/>
      </c>
      <c r="BH23" s="78" t="str">
        <f>IF(ISNUMBER(G23),
IF(IsBold(G23), TIME(0,0,0),
IF(G23&gt;8, TIME(23,0,0) - (G23 - 1)/24, AS23)), "")</f>
        <v/>
      </c>
      <c r="BI23" s="78" t="str">
        <f t="shared" si="16"/>
        <v/>
      </c>
      <c r="BJ23" s="78" t="str">
        <f>IF(ISNUMBER(H23),
IF(IsBold(H23), TIME(0,0,0),
IF(H23&gt;8, TIME(23,0,0) - (H23 - 1)/24, AS23)), "")</f>
        <v/>
      </c>
      <c r="BK23" s="78" t="str">
        <f t="shared" si="17"/>
        <v/>
      </c>
      <c r="BL23" s="78" t="str">
        <f>IF(ISNUMBER(I23),
IF(IsBold(I23), TIME(0,0,0),
IF(I23&gt;8, TIME(23,0,0) - (I23 - 1)/24, AS23)), "")</f>
        <v/>
      </c>
      <c r="BM23" s="78" t="str">
        <f t="shared" si="18"/>
        <v/>
      </c>
      <c r="BN23" s="78" t="str">
        <f>IF(ISNUMBER(J23),
IF(IsBold(J23), TIME(0,0,0),
IF(J23&gt;8, TIME(23,0,0) - (J23 - 1)/24, AS23)), "")</f>
        <v/>
      </c>
      <c r="BO23" s="78" t="str">
        <f t="shared" si="19"/>
        <v/>
      </c>
      <c r="BP23" s="78" t="str">
        <f>IF(ISNUMBER(K23),
IF(IsBold(K23), TIME(0,0,0),
IF(K23&gt;8, TIME(23,0,0) - (K23 - 1)/24, AS23)), "")</f>
        <v/>
      </c>
      <c r="BQ23" s="78" t="str">
        <f t="shared" si="20"/>
        <v/>
      </c>
      <c r="BR23" s="78" t="str">
        <f>IF(ISNUMBER(L23),
IF(IsBold(L23), TIME(0,0,0),
IF(L23&gt;8, TIME(23,0,0) - (L23 - 1)/24, AS23)), "")</f>
        <v/>
      </c>
      <c r="BS23" s="78" t="str">
        <f t="shared" si="21"/>
        <v/>
      </c>
      <c r="BT23" s="78" t="str">
        <f>IF(ISNUMBER(M23),
IF(IsBold(M23), TIME(0,0,0),
IF(M23&gt;8, TIME(23,0,0) - (M23 - 1)/24, AS23)), "")</f>
        <v/>
      </c>
      <c r="BU23" s="78" t="str">
        <f t="shared" si="22"/>
        <v/>
      </c>
      <c r="BV23" s="78" t="str">
        <f>IF(ISNUMBER(N23),
IF(IsBold(N23), TIME(0,0,0),
IF(N23&gt;8, TIME(23,0,0) - (N23 - 1)/24, AS23)), "")</f>
        <v/>
      </c>
      <c r="BW23" s="78" t="str">
        <f t="shared" si="23"/>
        <v/>
      </c>
      <c r="BX23" s="78" t="str">
        <f>IF(ISNUMBER(O23),
IF(IsBold(O23), TIME(0,0,0),
IF(O23&gt;8, TIME(23,0,0) - (O23 - 1)/24, AS23)), "")</f>
        <v/>
      </c>
      <c r="BY23" s="78" t="str">
        <f t="shared" si="24"/>
        <v/>
      </c>
      <c r="BZ23" s="78" t="str">
        <f>IF(ISNUMBER(P23),
IF(IsBold(P23), TIME(0,0,0),
IF(P23&gt;8, TIME(23,0,0) - (P23 - 1)/24, AS23)), "")</f>
        <v/>
      </c>
      <c r="CA23" s="78" t="str">
        <f t="shared" si="25"/>
        <v/>
      </c>
      <c r="CB23" s="78" t="str">
        <f>IF(ISNUMBER(Q23),
IF(IsBold(Q23), TIME(0,0,0),
IF(Q23&gt;8, TIME(23,0,0) - (Q23 - 1)/24, AS23)), "")</f>
        <v/>
      </c>
      <c r="CC23" s="78" t="str">
        <f t="shared" si="26"/>
        <v/>
      </c>
      <c r="CD23" s="78" t="str">
        <f>IF(ISNUMBER(R23),
IF(IsBold(R23), TIME(0,0,0),
IF(R23&gt;8, TIME(23,0,0) - (R23 - 1)/24, AS23)), "")</f>
        <v/>
      </c>
      <c r="CE23" s="78" t="str">
        <f t="shared" si="27"/>
        <v/>
      </c>
      <c r="CF23" s="78" t="str">
        <f>IF(ISNUMBER(S23),
IF(IsBold(S23), TIME(0,0,0),
IF(S23&gt;8, TIME(23,0,0) - (S23 - 1)/24, AS23)), "")</f>
        <v/>
      </c>
      <c r="CG23" s="99" t="str">
        <f t="shared" si="28"/>
        <v/>
      </c>
      <c r="CM23" s="104">
        <f t="shared" si="10"/>
        <v>13</v>
      </c>
      <c r="CN23" s="106">
        <f t="shared" si="11"/>
        <v>0</v>
      </c>
      <c r="CO23" s="95">
        <f t="shared" si="12"/>
        <v>0</v>
      </c>
      <c r="CP23" s="123" t="str">
        <f>IF(ISNUMBER(T23),
IF(IsBold(T23), TIME(0,0,0),
IF(T23&gt;8, TIME(23,0,0) - (T23 - 1)/24, AS23)), "")</f>
        <v/>
      </c>
      <c r="CQ23" s="124" t="str">
        <f t="shared" si="29"/>
        <v/>
      </c>
      <c r="CR23" s="124" t="str">
        <f>IF(ISNUMBER(U23),
IF(IsBold(U23), TIME(0,0,0),
IF(U23&gt;8, TIME(23,0,0) - (U23 - 1)/24, AS23)), "")</f>
        <v/>
      </c>
      <c r="CS23" s="124" t="str">
        <f t="shared" si="30"/>
        <v/>
      </c>
      <c r="CT23" s="124" t="str">
        <f>IF(ISNUMBER(V23),
IF(IsBold(V23), TIME(0,0,0),
IF(V23&gt;8, TIME(23,0,0) - (V23 - 1)/24, AS23)), "")</f>
        <v/>
      </c>
      <c r="CU23" s="124" t="str">
        <f t="shared" si="31"/>
        <v/>
      </c>
      <c r="CV23" s="124" t="str">
        <f>IF(ISNUMBER(W23),
IF(IsBold(W23), TIME(0,0,0),
IF(W23&gt;8, TIME(23,0,0) - (W23 - 1)/24, AS23)), "")</f>
        <v/>
      </c>
      <c r="CW23" s="124" t="str">
        <f t="shared" si="32"/>
        <v/>
      </c>
      <c r="CX23" s="124" t="str">
        <f>IF(ISNUMBER(X23),
IF(IsBold(X23), TIME(0,0,0),
IF(X23&gt;8, TIME(23,0,0) - (X23 - 1)/24, AS23)), "")</f>
        <v/>
      </c>
      <c r="CY23" s="124" t="str">
        <f t="shared" si="33"/>
        <v/>
      </c>
      <c r="CZ23" s="124" t="str">
        <f>IF(ISNUMBER(Y23),
IF(IsBold(Y23), TIME(0,0,0),
IF(Y23&gt;8, TIME(23,0,0) - (Y23 - 1)/24, AS23)), "")</f>
        <v/>
      </c>
      <c r="DA23" s="124" t="str">
        <f t="shared" si="34"/>
        <v/>
      </c>
      <c r="DB23" s="124" t="str">
        <f>IF(ISNUMBER(Z23),
IF(IsBold(Z23), TIME(0,0,0),
IF(Z23&gt;8, TIME(23,0,0) - (Z23 - 1)/24, AS23)), "")</f>
        <v/>
      </c>
      <c r="DC23" s="124" t="str">
        <f t="shared" si="35"/>
        <v/>
      </c>
      <c r="DD23" s="124" t="str">
        <f>IF(ISNUMBER(AA23),
IF(IsBold(AA23), TIME(0,0,0),
IF(AA23&gt;8, TIME(23,0,0) - (AA23 - 1)/24, AS23)), "")</f>
        <v/>
      </c>
      <c r="DE23" s="124" t="str">
        <f t="shared" si="36"/>
        <v/>
      </c>
      <c r="DF23" s="124" t="str">
        <f>IF(ISNUMBER(AB23),
IF(IsBold(AB23), TIME(0,0,0),
IF(AB23&gt;8, TIME(23,0,0) - (AB23 - 1)/24, AS23)), "")</f>
        <v/>
      </c>
      <c r="DG23" s="124" t="str">
        <f t="shared" si="37"/>
        <v/>
      </c>
      <c r="DH23" s="124" t="str">
        <f>IF(ISNUMBER(AC23),
IF(IsBold(AC23), TIME(0,0,0),
IF(AC23&gt;8, TIME(23,0,0) - (AC23 - 1)/24, AS23)), "")</f>
        <v/>
      </c>
      <c r="DI23" s="124" t="str">
        <f t="shared" si="38"/>
        <v/>
      </c>
      <c r="DJ23" s="124" t="str">
        <f>IF(ISNUMBER(AD23),
IF(IsBold(AD23), TIME(0,0,0),
IF(AD23&gt;8, TIME(23,0,0) - (AD23 - 1)/24, AS23)), "")</f>
        <v/>
      </c>
      <c r="DK23" s="124" t="str">
        <f t="shared" si="39"/>
        <v/>
      </c>
      <c r="DL23" s="124" t="str">
        <f>IF(ISNUMBER(AE23),
IF(IsBold(AE23), TIME(0,0,0),
IF(AE23&gt;8, TIME(23,0,0) - (AE23 - 1)/24, AS23)), "")</f>
        <v/>
      </c>
      <c r="DM23" s="124" t="str">
        <f t="shared" si="40"/>
        <v/>
      </c>
      <c r="DN23" s="124" t="str">
        <f>IF(ISNUMBER(AF23),
IF(IsBold(AF23), TIME(0,0,0),
IF(AF23&gt;8, TIME(23,0,0) - (AF23 - 1)/24, AS23)), "")</f>
        <v/>
      </c>
      <c r="DO23" s="124" t="str">
        <f t="shared" si="41"/>
        <v/>
      </c>
      <c r="DP23" s="124" t="str">
        <f>IF(ISNUMBER(AG23),
IF(IsBold(AG23), TIME(0,0,0),
IF(AG23&gt;8, TIME(23,0,0) - (AG23 - 1)/24, AS23)), "")</f>
        <v/>
      </c>
      <c r="DQ23" s="124" t="str">
        <f t="shared" si="42"/>
        <v/>
      </c>
      <c r="DR23" s="124" t="str">
        <f>IF(ISNUMBER(AH23),
IF(IsBold(AH23), TIME(0,0,0),
IF(AH23&gt;8, TIME(23,0,0) - (AH23 - 1)/24, AS23)), "")</f>
        <v/>
      </c>
      <c r="DS23" s="124" t="str">
        <f t="shared" si="43"/>
        <v/>
      </c>
      <c r="DT23" s="124" t="str">
        <f>IF(ISNUMBER(AI23),
IF(IsBold(AI23), TIME(0,0,0),
IF(AI23&gt;8, TIME(23,0,0) - (AI23 - 1)/24, AS23)), "")</f>
        <v/>
      </c>
      <c r="DU23" s="125" t="str">
        <f t="shared" si="44"/>
        <v/>
      </c>
      <c r="DV23" s="112">
        <f t="shared" si="45"/>
        <v>0</v>
      </c>
    </row>
    <row r="24" spans="1:126" x14ac:dyDescent="0.3">
      <c r="A24" s="12">
        <v>14</v>
      </c>
      <c r="B24" s="59"/>
      <c r="C24" s="60"/>
      <c r="D24" s="61"/>
      <c r="E24" s="57"/>
      <c r="F24" s="65"/>
      <c r="G24" s="66"/>
      <c r="H24" s="67"/>
      <c r="I24" s="65"/>
      <c r="J24" s="65"/>
      <c r="K24" s="66"/>
      <c r="L24" s="67"/>
      <c r="M24" s="65"/>
      <c r="N24" s="65"/>
      <c r="O24" s="66"/>
      <c r="P24" s="67"/>
      <c r="Q24" s="65"/>
      <c r="R24" s="65"/>
      <c r="S24" s="66"/>
      <c r="T24" s="67"/>
      <c r="U24" s="65"/>
      <c r="V24" s="65"/>
      <c r="W24" s="66"/>
      <c r="X24" s="67"/>
      <c r="Y24" s="65"/>
      <c r="Z24" s="65"/>
      <c r="AA24" s="66"/>
      <c r="AB24" s="67"/>
      <c r="AC24" s="65"/>
      <c r="AD24" s="65"/>
      <c r="AE24" s="66"/>
      <c r="AF24" s="67"/>
      <c r="AG24" s="57"/>
      <c r="AH24" s="57"/>
      <c r="AI24" s="57"/>
      <c r="AJ24" s="73">
        <f t="shared" si="1"/>
        <v>0</v>
      </c>
      <c r="AK24" s="74">
        <f t="shared" si="2"/>
        <v>0</v>
      </c>
      <c r="AL24" s="76">
        <f t="shared" si="3"/>
        <v>0</v>
      </c>
      <c r="AM24" s="74">
        <f t="shared" si="4"/>
        <v>0</v>
      </c>
      <c r="AN24" s="74">
        <f>SUM(CountWeekendDays(E10)+COUNTIF(E24:AI24,"С"))</f>
        <v>9</v>
      </c>
      <c r="AO24" s="77">
        <f t="shared" si="5"/>
        <v>0</v>
      </c>
      <c r="AP24" s="88">
        <f>(DAY(EOMONTH(E10, 0)) - AN24 - AK24) * AU24  * D24</f>
        <v>0</v>
      </c>
      <c r="AQ24" s="89">
        <f t="shared" si="49"/>
        <v>0</v>
      </c>
      <c r="AR24" s="90" t="e">
        <f t="shared" si="46"/>
        <v>#DIV/0!</v>
      </c>
      <c r="AS24" s="121">
        <v>0.33333333333333331</v>
      </c>
      <c r="AU24" s="28">
        <f t="shared" si="6"/>
        <v>7.7</v>
      </c>
      <c r="AV24" s="27"/>
      <c r="AW24" s="27"/>
      <c r="BA24" s="104">
        <f t="shared" si="7"/>
        <v>14</v>
      </c>
      <c r="BB24" s="105">
        <f t="shared" si="8"/>
        <v>0</v>
      </c>
      <c r="BC24" s="95">
        <f t="shared" si="9"/>
        <v>0</v>
      </c>
      <c r="BD24" s="118" t="str">
        <f>IF(ISNUMBER(E24),
IF(IsBold(E24), TIME(0,0,0),
IF(E24&gt;8, TIME(23,0,0) - (E24 - 1)/24, AS24)), "")</f>
        <v/>
      </c>
      <c r="BE24" s="78" t="str">
        <f t="shared" si="14"/>
        <v/>
      </c>
      <c r="BF24" s="78" t="str">
        <f>IF(ISNUMBER(F24),
IF(IsBold(F24), TIME(0,0,0),
IF(F24&gt;8, TIME(23,0,0) - (F24 - 1)/24, AS24)), "")</f>
        <v/>
      </c>
      <c r="BG24" s="78" t="str">
        <f t="shared" si="15"/>
        <v/>
      </c>
      <c r="BH24" s="78" t="str">
        <f>IF(ISNUMBER(G24),
IF(IsBold(G24), TIME(0,0,0),
IF(G24&gt;8, TIME(23,0,0) - (G24 - 1)/24, AS24)), "")</f>
        <v/>
      </c>
      <c r="BI24" s="78" t="str">
        <f t="shared" si="16"/>
        <v/>
      </c>
      <c r="BJ24" s="78" t="str">
        <f>IF(ISNUMBER(H24),
IF(IsBold(H24), TIME(0,0,0),
IF(H24&gt;8, TIME(23,0,0) - (H24 - 1)/24, AS24)), "")</f>
        <v/>
      </c>
      <c r="BK24" s="78" t="str">
        <f t="shared" si="17"/>
        <v/>
      </c>
      <c r="BL24" s="78" t="str">
        <f>IF(ISNUMBER(I24),
IF(IsBold(I24), TIME(0,0,0),
IF(I24&gt;8, TIME(23,0,0) - (I24 - 1)/24, AS24)), "")</f>
        <v/>
      </c>
      <c r="BM24" s="78" t="str">
        <f t="shared" si="18"/>
        <v/>
      </c>
      <c r="BN24" s="78" t="str">
        <f>IF(ISNUMBER(J24),
IF(IsBold(J24), TIME(0,0,0),
IF(J24&gt;8, TIME(23,0,0) - (J24 - 1)/24, AS24)), "")</f>
        <v/>
      </c>
      <c r="BO24" s="78" t="str">
        <f t="shared" si="19"/>
        <v/>
      </c>
      <c r="BP24" s="78" t="str">
        <f>IF(ISNUMBER(K24),
IF(IsBold(K24), TIME(0,0,0),
IF(K24&gt;8, TIME(23,0,0) - (K24 - 1)/24, AS24)), "")</f>
        <v/>
      </c>
      <c r="BQ24" s="78" t="str">
        <f t="shared" si="20"/>
        <v/>
      </c>
      <c r="BR24" s="78" t="str">
        <f>IF(ISNUMBER(L24),
IF(IsBold(L24), TIME(0,0,0),
IF(L24&gt;8, TIME(23,0,0) - (L24 - 1)/24, AS24)), "")</f>
        <v/>
      </c>
      <c r="BS24" s="78" t="str">
        <f t="shared" si="21"/>
        <v/>
      </c>
      <c r="BT24" s="78" t="str">
        <f>IF(ISNUMBER(M24),
IF(IsBold(M24), TIME(0,0,0),
IF(M24&gt;8, TIME(23,0,0) - (M24 - 1)/24, AS24)), "")</f>
        <v/>
      </c>
      <c r="BU24" s="78" t="str">
        <f t="shared" si="22"/>
        <v/>
      </c>
      <c r="BV24" s="78" t="str">
        <f>IF(ISNUMBER(N24),
IF(IsBold(N24), TIME(0,0,0),
IF(N24&gt;8, TIME(23,0,0) - (N24 - 1)/24, AS24)), "")</f>
        <v/>
      </c>
      <c r="BW24" s="78" t="str">
        <f t="shared" si="23"/>
        <v/>
      </c>
      <c r="BX24" s="78" t="str">
        <f>IF(ISNUMBER(O24),
IF(IsBold(O24), TIME(0,0,0),
IF(O24&gt;8, TIME(23,0,0) - (O24 - 1)/24, AS24)), "")</f>
        <v/>
      </c>
      <c r="BY24" s="78" t="str">
        <f t="shared" si="24"/>
        <v/>
      </c>
      <c r="BZ24" s="78" t="str">
        <f>IF(ISNUMBER(P24),
IF(IsBold(P24), TIME(0,0,0),
IF(P24&gt;8, TIME(23,0,0) - (P24 - 1)/24, AS24)), "")</f>
        <v/>
      </c>
      <c r="CA24" s="78" t="str">
        <f t="shared" si="25"/>
        <v/>
      </c>
      <c r="CB24" s="78" t="str">
        <f>IF(ISNUMBER(Q24),
IF(IsBold(Q24), TIME(0,0,0),
IF(Q24&gt;8, TIME(23,0,0) - (Q24 - 1)/24, AS24)), "")</f>
        <v/>
      </c>
      <c r="CC24" s="78" t="str">
        <f t="shared" si="26"/>
        <v/>
      </c>
      <c r="CD24" s="78" t="str">
        <f>IF(ISNUMBER(R24),
IF(IsBold(R24), TIME(0,0,0),
IF(R24&gt;8, TIME(23,0,0) - (R24 - 1)/24, AS24)), "")</f>
        <v/>
      </c>
      <c r="CE24" s="78" t="str">
        <f t="shared" si="27"/>
        <v/>
      </c>
      <c r="CF24" s="78" t="str">
        <f>IF(ISNUMBER(S24),
IF(IsBold(S24), TIME(0,0,0),
IF(S24&gt;8, TIME(23,0,0) - (S24 - 1)/24, AS24)), "")</f>
        <v/>
      </c>
      <c r="CG24" s="99" t="str">
        <f t="shared" si="28"/>
        <v/>
      </c>
      <c r="CM24" s="104">
        <f t="shared" si="10"/>
        <v>14</v>
      </c>
      <c r="CN24" s="106">
        <f t="shared" si="11"/>
        <v>0</v>
      </c>
      <c r="CO24" s="95">
        <f t="shared" si="12"/>
        <v>0</v>
      </c>
      <c r="CP24" s="123" t="str">
        <f>IF(ISNUMBER(T24),
IF(IsBold(T24), TIME(0,0,0),
IF(T24&gt;8, TIME(23,0,0) - (T24 - 1)/24, AS24)), "")</f>
        <v/>
      </c>
      <c r="CQ24" s="124" t="str">
        <f t="shared" si="29"/>
        <v/>
      </c>
      <c r="CR24" s="124" t="str">
        <f>IF(ISNUMBER(U24),
IF(IsBold(U24), TIME(0,0,0),
IF(U24&gt;8, TIME(23,0,0) - (U24 - 1)/24, AS24)), "")</f>
        <v/>
      </c>
      <c r="CS24" s="124" t="str">
        <f t="shared" si="30"/>
        <v/>
      </c>
      <c r="CT24" s="124" t="str">
        <f>IF(ISNUMBER(V24),
IF(IsBold(V24), TIME(0,0,0),
IF(V24&gt;8, TIME(23,0,0) - (V24 - 1)/24, AS24)), "")</f>
        <v/>
      </c>
      <c r="CU24" s="124" t="str">
        <f t="shared" si="31"/>
        <v/>
      </c>
      <c r="CV24" s="124" t="str">
        <f>IF(ISNUMBER(W24),
IF(IsBold(W24), TIME(0,0,0),
IF(W24&gt;8, TIME(23,0,0) - (W24 - 1)/24, AS24)), "")</f>
        <v/>
      </c>
      <c r="CW24" s="124" t="str">
        <f t="shared" si="32"/>
        <v/>
      </c>
      <c r="CX24" s="124" t="str">
        <f>IF(ISNUMBER(X24),
IF(IsBold(X24), TIME(0,0,0),
IF(X24&gt;8, TIME(23,0,0) - (X24 - 1)/24, AS24)), "")</f>
        <v/>
      </c>
      <c r="CY24" s="124" t="str">
        <f t="shared" si="33"/>
        <v/>
      </c>
      <c r="CZ24" s="124" t="str">
        <f>IF(ISNUMBER(Y24),
IF(IsBold(Y24), TIME(0,0,0),
IF(Y24&gt;8, TIME(23,0,0) - (Y24 - 1)/24, AS24)), "")</f>
        <v/>
      </c>
      <c r="DA24" s="124" t="str">
        <f t="shared" si="34"/>
        <v/>
      </c>
      <c r="DB24" s="124" t="str">
        <f>IF(ISNUMBER(Z24),
IF(IsBold(Z24), TIME(0,0,0),
IF(Z24&gt;8, TIME(23,0,0) - (Z24 - 1)/24, AS24)), "")</f>
        <v/>
      </c>
      <c r="DC24" s="124" t="str">
        <f t="shared" si="35"/>
        <v/>
      </c>
      <c r="DD24" s="124" t="str">
        <f>IF(ISNUMBER(AA24),
IF(IsBold(AA24), TIME(0,0,0),
IF(AA24&gt;8, TIME(23,0,0) - (AA24 - 1)/24, AS24)), "")</f>
        <v/>
      </c>
      <c r="DE24" s="124" t="str">
        <f t="shared" si="36"/>
        <v/>
      </c>
      <c r="DF24" s="124" t="str">
        <f>IF(ISNUMBER(AB24),
IF(IsBold(AB24), TIME(0,0,0),
IF(AB24&gt;8, TIME(23,0,0) - (AB24 - 1)/24, AS24)), "")</f>
        <v/>
      </c>
      <c r="DG24" s="124" t="str">
        <f t="shared" si="37"/>
        <v/>
      </c>
      <c r="DH24" s="124" t="str">
        <f>IF(ISNUMBER(AC24),
IF(IsBold(AC24), TIME(0,0,0),
IF(AC24&gt;8, TIME(23,0,0) - (AC24 - 1)/24, AS24)), "")</f>
        <v/>
      </c>
      <c r="DI24" s="124" t="str">
        <f t="shared" si="38"/>
        <v/>
      </c>
      <c r="DJ24" s="124" t="str">
        <f>IF(ISNUMBER(AD24),
IF(IsBold(AD24), TIME(0,0,0),
IF(AD24&gt;8, TIME(23,0,0) - (AD24 - 1)/24, AS24)), "")</f>
        <v/>
      </c>
      <c r="DK24" s="124" t="str">
        <f t="shared" si="39"/>
        <v/>
      </c>
      <c r="DL24" s="124" t="str">
        <f>IF(ISNUMBER(AE24),
IF(IsBold(AE24), TIME(0,0,0),
IF(AE24&gt;8, TIME(23,0,0) - (AE24 - 1)/24, AS24)), "")</f>
        <v/>
      </c>
      <c r="DM24" s="124" t="str">
        <f t="shared" si="40"/>
        <v/>
      </c>
      <c r="DN24" s="124" t="str">
        <f>IF(ISNUMBER(AF24),
IF(IsBold(AF24), TIME(0,0,0),
IF(AF24&gt;8, TIME(23,0,0) - (AF24 - 1)/24, AS24)), "")</f>
        <v/>
      </c>
      <c r="DO24" s="124" t="str">
        <f t="shared" si="41"/>
        <v/>
      </c>
      <c r="DP24" s="124" t="str">
        <f>IF(ISNUMBER(AG24),
IF(IsBold(AG24), TIME(0,0,0),
IF(AG24&gt;8, TIME(23,0,0) - (AG24 - 1)/24, AS24)), "")</f>
        <v/>
      </c>
      <c r="DQ24" s="124" t="str">
        <f t="shared" si="42"/>
        <v/>
      </c>
      <c r="DR24" s="124" t="str">
        <f>IF(ISNUMBER(AH24),
IF(IsBold(AH24), TIME(0,0,0),
IF(AH24&gt;8, TIME(23,0,0) - (AH24 - 1)/24, AS24)), "")</f>
        <v/>
      </c>
      <c r="DS24" s="124" t="str">
        <f t="shared" si="43"/>
        <v/>
      </c>
      <c r="DT24" s="124" t="str">
        <f>IF(ISNUMBER(AI24),
IF(IsBold(AI24), TIME(0,0,0),
IF(AI24&gt;8, TIME(23,0,0) - (AI24 - 1)/24, AS24)), "")</f>
        <v/>
      </c>
      <c r="DU24" s="125" t="str">
        <f t="shared" si="44"/>
        <v/>
      </c>
      <c r="DV24" s="112">
        <f t="shared" si="45"/>
        <v>0</v>
      </c>
    </row>
    <row r="25" spans="1:126" x14ac:dyDescent="0.3">
      <c r="A25" s="12">
        <v>15</v>
      </c>
      <c r="B25" s="59"/>
      <c r="C25" s="60"/>
      <c r="D25" s="61"/>
      <c r="E25" s="57"/>
      <c r="F25" s="65"/>
      <c r="G25" s="66"/>
      <c r="H25" s="67"/>
      <c r="I25" s="65"/>
      <c r="J25" s="65"/>
      <c r="K25" s="66"/>
      <c r="L25" s="67"/>
      <c r="M25" s="65"/>
      <c r="N25" s="65"/>
      <c r="O25" s="66"/>
      <c r="P25" s="67"/>
      <c r="Q25" s="65"/>
      <c r="R25" s="65"/>
      <c r="S25" s="66"/>
      <c r="T25" s="67"/>
      <c r="U25" s="65"/>
      <c r="V25" s="65"/>
      <c r="W25" s="66"/>
      <c r="X25" s="67"/>
      <c r="Y25" s="65"/>
      <c r="Z25" s="65"/>
      <c r="AA25" s="66"/>
      <c r="AB25" s="67"/>
      <c r="AC25" s="65"/>
      <c r="AD25" s="65"/>
      <c r="AE25" s="66"/>
      <c r="AF25" s="67"/>
      <c r="AG25" s="57"/>
      <c r="AH25" s="57"/>
      <c r="AI25" s="57"/>
      <c r="AJ25" s="73">
        <f t="shared" si="1"/>
        <v>0</v>
      </c>
      <c r="AK25" s="74">
        <f t="shared" si="2"/>
        <v>0</v>
      </c>
      <c r="AL25" s="76">
        <f t="shared" si="3"/>
        <v>0</v>
      </c>
      <c r="AM25" s="74">
        <f t="shared" si="4"/>
        <v>0</v>
      </c>
      <c r="AN25" s="74">
        <f>SUM(CountWeekendDays(E10)+COUNTIF(E25:AI25,"С"))</f>
        <v>9</v>
      </c>
      <c r="AO25" s="77">
        <f t="shared" si="5"/>
        <v>0</v>
      </c>
      <c r="AP25" s="88">
        <f>(DAY(EOMONTH(E10, 0)) - AN25 - AK25) * AU25  * D25</f>
        <v>0</v>
      </c>
      <c r="AQ25" s="89">
        <f t="shared" si="49"/>
        <v>0</v>
      </c>
      <c r="AR25" s="90" t="e">
        <f t="shared" si="46"/>
        <v>#DIV/0!</v>
      </c>
      <c r="AS25" s="121">
        <v>0.33333333333333331</v>
      </c>
      <c r="AU25" s="28">
        <f t="shared" si="6"/>
        <v>7.7</v>
      </c>
      <c r="AV25" s="27"/>
      <c r="AW25" s="27"/>
      <c r="BA25" s="104">
        <f t="shared" si="7"/>
        <v>15</v>
      </c>
      <c r="BB25" s="106">
        <f t="shared" si="8"/>
        <v>0</v>
      </c>
      <c r="BC25" s="95">
        <f t="shared" si="9"/>
        <v>0</v>
      </c>
      <c r="BD25" s="118" t="str">
        <f>IF(ISNUMBER(E25),
IF(IsBold(E25), TIME(0,0,0),
IF(E25&gt;8, TIME(23,0,0) - (E25 - 1)/24, AS25)), "")</f>
        <v/>
      </c>
      <c r="BE25" s="78" t="str">
        <f t="shared" si="14"/>
        <v/>
      </c>
      <c r="BF25" s="78" t="str">
        <f>IF(ISNUMBER(F25),
IF(IsBold(F25), TIME(0,0,0),
IF(F25&gt;8, TIME(23,0,0) - (F25 - 1)/24, AS25)), "")</f>
        <v/>
      </c>
      <c r="BG25" s="78" t="str">
        <f t="shared" si="15"/>
        <v/>
      </c>
      <c r="BH25" s="78" t="str">
        <f>IF(ISNUMBER(G25),
IF(IsBold(G25), TIME(0,0,0),
IF(G25&gt;8, TIME(23,0,0) - (G25 - 1)/24, AS25)), "")</f>
        <v/>
      </c>
      <c r="BI25" s="78" t="str">
        <f t="shared" si="16"/>
        <v/>
      </c>
      <c r="BJ25" s="78" t="str">
        <f>IF(ISNUMBER(H25),
IF(IsBold(H25), TIME(0,0,0),
IF(H25&gt;8, TIME(23,0,0) - (H25 - 1)/24, AS25)), "")</f>
        <v/>
      </c>
      <c r="BK25" s="78" t="str">
        <f t="shared" si="17"/>
        <v/>
      </c>
      <c r="BL25" s="78" t="str">
        <f>IF(ISNUMBER(I25),
IF(IsBold(I25), TIME(0,0,0),
IF(I25&gt;8, TIME(23,0,0) - (I25 - 1)/24, AS25)), "")</f>
        <v/>
      </c>
      <c r="BM25" s="78" t="str">
        <f t="shared" si="18"/>
        <v/>
      </c>
      <c r="BN25" s="78" t="str">
        <f>IF(ISNUMBER(J25),
IF(IsBold(J25), TIME(0,0,0),
IF(J25&gt;8, TIME(23,0,0) - (J25 - 1)/24, AS25)), "")</f>
        <v/>
      </c>
      <c r="BO25" s="78" t="str">
        <f t="shared" si="19"/>
        <v/>
      </c>
      <c r="BP25" s="78" t="str">
        <f>IF(ISNUMBER(K25),
IF(IsBold(K25), TIME(0,0,0),
IF(K25&gt;8, TIME(23,0,0) - (K25 - 1)/24, AS25)), "")</f>
        <v/>
      </c>
      <c r="BQ25" s="78" t="str">
        <f t="shared" si="20"/>
        <v/>
      </c>
      <c r="BR25" s="78" t="str">
        <f>IF(ISNUMBER(L25),
IF(IsBold(L25), TIME(0,0,0),
IF(L25&gt;8, TIME(23,0,0) - (L25 - 1)/24, AS25)), "")</f>
        <v/>
      </c>
      <c r="BS25" s="78" t="str">
        <f t="shared" si="21"/>
        <v/>
      </c>
      <c r="BT25" s="78" t="str">
        <f>IF(ISNUMBER(M25),
IF(IsBold(M25), TIME(0,0,0),
IF(M25&gt;8, TIME(23,0,0) - (M25 - 1)/24, AS25)), "")</f>
        <v/>
      </c>
      <c r="BU25" s="78" t="str">
        <f t="shared" si="22"/>
        <v/>
      </c>
      <c r="BV25" s="78" t="str">
        <f>IF(ISNUMBER(N25),
IF(IsBold(N25), TIME(0,0,0),
IF(N25&gt;8, TIME(23,0,0) - (N25 - 1)/24, AS25)), "")</f>
        <v/>
      </c>
      <c r="BW25" s="78" t="str">
        <f t="shared" si="23"/>
        <v/>
      </c>
      <c r="BX25" s="78" t="str">
        <f>IF(ISNUMBER(O25),
IF(IsBold(O25), TIME(0,0,0),
IF(O25&gt;8, TIME(23,0,0) - (O25 - 1)/24, AS25)), "")</f>
        <v/>
      </c>
      <c r="BY25" s="78" t="str">
        <f t="shared" si="24"/>
        <v/>
      </c>
      <c r="BZ25" s="78" t="str">
        <f>IF(ISNUMBER(P25),
IF(IsBold(P25), TIME(0,0,0),
IF(P25&gt;8, TIME(23,0,0) - (P25 - 1)/24, AS25)), "")</f>
        <v/>
      </c>
      <c r="CA25" s="78" t="str">
        <f t="shared" si="25"/>
        <v/>
      </c>
      <c r="CB25" s="78" t="str">
        <f>IF(ISNUMBER(Q25),
IF(IsBold(Q25), TIME(0,0,0),
IF(Q25&gt;8, TIME(23,0,0) - (Q25 - 1)/24, AS25)), "")</f>
        <v/>
      </c>
      <c r="CC25" s="78" t="str">
        <f t="shared" si="26"/>
        <v/>
      </c>
      <c r="CD25" s="78" t="str">
        <f>IF(ISNUMBER(R25),
IF(IsBold(R25), TIME(0,0,0),
IF(R25&gt;8, TIME(23,0,0) - (R25 - 1)/24, AS25)), "")</f>
        <v/>
      </c>
      <c r="CE25" s="78" t="str">
        <f t="shared" si="27"/>
        <v/>
      </c>
      <c r="CF25" s="78" t="str">
        <f>IF(ISNUMBER(S25),
IF(IsBold(S25), TIME(0,0,0),
IF(S25&gt;8, TIME(23,0,0) - (S25 - 1)/24, AS25)), "")</f>
        <v/>
      </c>
      <c r="CG25" s="99" t="str">
        <f t="shared" si="28"/>
        <v/>
      </c>
      <c r="CM25" s="104">
        <f t="shared" si="10"/>
        <v>15</v>
      </c>
      <c r="CN25" s="106">
        <f t="shared" si="11"/>
        <v>0</v>
      </c>
      <c r="CO25" s="95">
        <f t="shared" si="12"/>
        <v>0</v>
      </c>
      <c r="CP25" s="123" t="str">
        <f>IF(ISNUMBER(T25),
IF(IsBold(T25), TIME(0,0,0),
IF(T25&gt;8, TIME(23,0,0) - (T25 - 1)/24, AS25)), "")</f>
        <v/>
      </c>
      <c r="CQ25" s="124" t="str">
        <f t="shared" si="29"/>
        <v/>
      </c>
      <c r="CR25" s="124" t="str">
        <f>IF(ISNUMBER(U25),
IF(IsBold(U25), TIME(0,0,0),
IF(U25&gt;8, TIME(23,0,0) - (U25 - 1)/24, AS25)), "")</f>
        <v/>
      </c>
      <c r="CS25" s="124" t="str">
        <f t="shared" si="30"/>
        <v/>
      </c>
      <c r="CT25" s="124" t="str">
        <f>IF(ISNUMBER(V25),
IF(IsBold(V25), TIME(0,0,0),
IF(V25&gt;8, TIME(23,0,0) - (V25 - 1)/24, AS25)), "")</f>
        <v/>
      </c>
      <c r="CU25" s="124" t="str">
        <f t="shared" si="31"/>
        <v/>
      </c>
      <c r="CV25" s="124" t="str">
        <f>IF(ISNUMBER(W25),
IF(IsBold(W25), TIME(0,0,0),
IF(W25&gt;8, TIME(23,0,0) - (W25 - 1)/24, AS25)), "")</f>
        <v/>
      </c>
      <c r="CW25" s="124" t="str">
        <f t="shared" si="32"/>
        <v/>
      </c>
      <c r="CX25" s="124" t="str">
        <f>IF(ISNUMBER(X25),
IF(IsBold(X25), TIME(0,0,0),
IF(X25&gt;8, TIME(23,0,0) - (X25 - 1)/24, AS25)), "")</f>
        <v/>
      </c>
      <c r="CY25" s="124" t="str">
        <f t="shared" si="33"/>
        <v/>
      </c>
      <c r="CZ25" s="124" t="str">
        <f>IF(ISNUMBER(Y25),
IF(IsBold(Y25), TIME(0,0,0),
IF(Y25&gt;8, TIME(23,0,0) - (Y25 - 1)/24, AS25)), "")</f>
        <v/>
      </c>
      <c r="DA25" s="124" t="str">
        <f t="shared" si="34"/>
        <v/>
      </c>
      <c r="DB25" s="124" t="str">
        <f>IF(ISNUMBER(Z25),
IF(IsBold(Z25), TIME(0,0,0),
IF(Z25&gt;8, TIME(23,0,0) - (Z25 - 1)/24, AS25)), "")</f>
        <v/>
      </c>
      <c r="DC25" s="124" t="str">
        <f t="shared" si="35"/>
        <v/>
      </c>
      <c r="DD25" s="124" t="str">
        <f>IF(ISNUMBER(AA25),
IF(IsBold(AA25), TIME(0,0,0),
IF(AA25&gt;8, TIME(23,0,0) - (AA25 - 1)/24, AS25)), "")</f>
        <v/>
      </c>
      <c r="DE25" s="124" t="str">
        <f t="shared" si="36"/>
        <v/>
      </c>
      <c r="DF25" s="124" t="str">
        <f>IF(ISNUMBER(AB25),
IF(IsBold(AB25), TIME(0,0,0),
IF(AB25&gt;8, TIME(23,0,0) - (AB25 - 1)/24, AS25)), "")</f>
        <v/>
      </c>
      <c r="DG25" s="124" t="str">
        <f t="shared" si="37"/>
        <v/>
      </c>
      <c r="DH25" s="124" t="str">
        <f>IF(ISNUMBER(AC25),
IF(IsBold(AC25), TIME(0,0,0),
IF(AC25&gt;8, TIME(23,0,0) - (AC25 - 1)/24, AS25)), "")</f>
        <v/>
      </c>
      <c r="DI25" s="124" t="str">
        <f t="shared" si="38"/>
        <v/>
      </c>
      <c r="DJ25" s="124" t="str">
        <f>IF(ISNUMBER(AD25),
IF(IsBold(AD25), TIME(0,0,0),
IF(AD25&gt;8, TIME(23,0,0) - (AD25 - 1)/24, AS25)), "")</f>
        <v/>
      </c>
      <c r="DK25" s="124" t="str">
        <f t="shared" si="39"/>
        <v/>
      </c>
      <c r="DL25" s="124" t="str">
        <f>IF(ISNUMBER(AE25),
IF(IsBold(AE25), TIME(0,0,0),
IF(AE25&gt;8, TIME(23,0,0) - (AE25 - 1)/24, AS25)), "")</f>
        <v/>
      </c>
      <c r="DM25" s="124" t="str">
        <f t="shared" si="40"/>
        <v/>
      </c>
      <c r="DN25" s="124" t="str">
        <f>IF(ISNUMBER(AF25),
IF(IsBold(AF25), TIME(0,0,0),
IF(AF25&gt;8, TIME(23,0,0) - (AF25 - 1)/24, AS25)), "")</f>
        <v/>
      </c>
      <c r="DO25" s="124" t="str">
        <f t="shared" si="41"/>
        <v/>
      </c>
      <c r="DP25" s="124" t="str">
        <f>IF(ISNUMBER(AG25),
IF(IsBold(AG25), TIME(0,0,0),
IF(AG25&gt;8, TIME(23,0,0) - (AG25 - 1)/24, AS25)), "")</f>
        <v/>
      </c>
      <c r="DQ25" s="124" t="str">
        <f t="shared" si="42"/>
        <v/>
      </c>
      <c r="DR25" s="124" t="str">
        <f>IF(ISNUMBER(AH25),
IF(IsBold(AH25), TIME(0,0,0),
IF(AH25&gt;8, TIME(23,0,0) - (AH25 - 1)/24, AS25)), "")</f>
        <v/>
      </c>
      <c r="DS25" s="124" t="str">
        <f t="shared" si="43"/>
        <v/>
      </c>
      <c r="DT25" s="124" t="str">
        <f>IF(ISNUMBER(AI25),
IF(IsBold(AI25), TIME(0,0,0),
IF(AI25&gt;8, TIME(23,0,0) - (AI25 - 1)/24, AS25)), "")</f>
        <v/>
      </c>
      <c r="DU25" s="125" t="str">
        <f t="shared" si="44"/>
        <v/>
      </c>
      <c r="DV25" s="112">
        <f t="shared" si="45"/>
        <v>0</v>
      </c>
    </row>
    <row r="26" spans="1:126" x14ac:dyDescent="0.3">
      <c r="A26" s="12">
        <v>16</v>
      </c>
      <c r="B26" s="59"/>
      <c r="C26" s="60"/>
      <c r="D26" s="61"/>
      <c r="E26" s="57"/>
      <c r="F26" s="65"/>
      <c r="G26" s="66"/>
      <c r="H26" s="67"/>
      <c r="I26" s="65"/>
      <c r="J26" s="65"/>
      <c r="K26" s="66"/>
      <c r="L26" s="67"/>
      <c r="M26" s="65"/>
      <c r="N26" s="65"/>
      <c r="O26" s="66"/>
      <c r="P26" s="67"/>
      <c r="Q26" s="65"/>
      <c r="R26" s="65"/>
      <c r="S26" s="66"/>
      <c r="T26" s="67"/>
      <c r="U26" s="65"/>
      <c r="V26" s="65"/>
      <c r="W26" s="66"/>
      <c r="X26" s="67"/>
      <c r="Y26" s="65"/>
      <c r="Z26" s="65"/>
      <c r="AA26" s="66"/>
      <c r="AB26" s="67"/>
      <c r="AC26" s="65"/>
      <c r="AD26" s="65"/>
      <c r="AE26" s="66"/>
      <c r="AF26" s="67"/>
      <c r="AG26" s="57"/>
      <c r="AH26" s="57"/>
      <c r="AI26" s="57"/>
      <c r="AJ26" s="73">
        <f t="shared" si="1"/>
        <v>0</v>
      </c>
      <c r="AK26" s="74">
        <f t="shared" si="2"/>
        <v>0</v>
      </c>
      <c r="AL26" s="76">
        <f t="shared" si="3"/>
        <v>0</v>
      </c>
      <c r="AM26" s="74">
        <f t="shared" si="4"/>
        <v>0</v>
      </c>
      <c r="AN26" s="74">
        <f>SUM(CountWeekendDays(E10)+COUNTIF(E26:AI26,"С"))</f>
        <v>9</v>
      </c>
      <c r="AO26" s="77">
        <f t="shared" si="5"/>
        <v>0</v>
      </c>
      <c r="AP26" s="88">
        <f>(DAY(EOMONTH(E10, 0)) - AN26 - AK26) * AU26  * D26</f>
        <v>0</v>
      </c>
      <c r="AQ26" s="89">
        <f t="shared" si="49"/>
        <v>0</v>
      </c>
      <c r="AR26" s="90" t="e">
        <f t="shared" si="46"/>
        <v>#DIV/0!</v>
      </c>
      <c r="AS26" s="121">
        <v>0.33333333333333331</v>
      </c>
      <c r="AU26" s="28">
        <f t="shared" si="6"/>
        <v>7.7</v>
      </c>
      <c r="AV26" s="27"/>
      <c r="AW26" s="27"/>
      <c r="BA26" s="104">
        <f t="shared" si="7"/>
        <v>16</v>
      </c>
      <c r="BB26" s="106">
        <f t="shared" si="8"/>
        <v>0</v>
      </c>
      <c r="BC26" s="95">
        <f t="shared" si="9"/>
        <v>0</v>
      </c>
      <c r="BD26" s="118" t="str">
        <f>IF(ISNUMBER(E26),
IF(IsBold(E26), TIME(0,0,0),
IF(E26&gt;8, TIME(23,0,0) - (E26 - 1)/24, AS26)), "")</f>
        <v/>
      </c>
      <c r="BE26" s="78" t="str">
        <f t="shared" si="14"/>
        <v/>
      </c>
      <c r="BF26" s="78" t="str">
        <f>IF(ISNUMBER(F26),
IF(IsBold(F26), TIME(0,0,0),
IF(F26&gt;8, TIME(23,0,0) - (F26 - 1)/24, AS26)), "")</f>
        <v/>
      </c>
      <c r="BG26" s="78" t="str">
        <f t="shared" si="15"/>
        <v/>
      </c>
      <c r="BH26" s="78" t="str">
        <f>IF(ISNUMBER(G26),
IF(IsBold(G26), TIME(0,0,0),
IF(G26&gt;8, TIME(23,0,0) - (G26 - 1)/24, AS26)), "")</f>
        <v/>
      </c>
      <c r="BI26" s="78" t="str">
        <f t="shared" si="16"/>
        <v/>
      </c>
      <c r="BJ26" s="78" t="str">
        <f>IF(ISNUMBER(H26),
IF(IsBold(H26), TIME(0,0,0),
IF(H26&gt;8, TIME(23,0,0) - (H26 - 1)/24, AS26)), "")</f>
        <v/>
      </c>
      <c r="BK26" s="78" t="str">
        <f t="shared" si="17"/>
        <v/>
      </c>
      <c r="BL26" s="78" t="str">
        <f>IF(ISNUMBER(I26),
IF(IsBold(I26), TIME(0,0,0),
IF(I26&gt;8, TIME(23,0,0) - (I26 - 1)/24, AS26)), "")</f>
        <v/>
      </c>
      <c r="BM26" s="78" t="str">
        <f t="shared" si="18"/>
        <v/>
      </c>
      <c r="BN26" s="78" t="str">
        <f>IF(ISNUMBER(J26),
IF(IsBold(J26), TIME(0,0,0),
IF(J26&gt;8, TIME(23,0,0) - (J26 - 1)/24, AS26)), "")</f>
        <v/>
      </c>
      <c r="BO26" s="78" t="str">
        <f t="shared" si="19"/>
        <v/>
      </c>
      <c r="BP26" s="78" t="str">
        <f>IF(ISNUMBER(K26),
IF(IsBold(K26), TIME(0,0,0),
IF(K26&gt;8, TIME(23,0,0) - (K26 - 1)/24, AS26)), "")</f>
        <v/>
      </c>
      <c r="BQ26" s="78" t="str">
        <f t="shared" si="20"/>
        <v/>
      </c>
      <c r="BR26" s="78" t="str">
        <f>IF(ISNUMBER(L26),
IF(IsBold(L26), TIME(0,0,0),
IF(L26&gt;8, TIME(23,0,0) - (L26 - 1)/24, AS26)), "")</f>
        <v/>
      </c>
      <c r="BS26" s="78" t="str">
        <f t="shared" si="21"/>
        <v/>
      </c>
      <c r="BT26" s="78" t="str">
        <f>IF(ISNUMBER(M26),
IF(IsBold(M26), TIME(0,0,0),
IF(M26&gt;8, TIME(23,0,0) - (M26 - 1)/24, AS26)), "")</f>
        <v/>
      </c>
      <c r="BU26" s="78" t="str">
        <f t="shared" si="22"/>
        <v/>
      </c>
      <c r="BV26" s="78" t="str">
        <f>IF(ISNUMBER(N26),
IF(IsBold(N26), TIME(0,0,0),
IF(N26&gt;8, TIME(23,0,0) - (N26 - 1)/24, AS26)), "")</f>
        <v/>
      </c>
      <c r="BW26" s="78" t="str">
        <f t="shared" si="23"/>
        <v/>
      </c>
      <c r="BX26" s="78" t="str">
        <f>IF(ISNUMBER(O26),
IF(IsBold(O26), TIME(0,0,0),
IF(O26&gt;8, TIME(23,0,0) - (O26 - 1)/24, AS26)), "")</f>
        <v/>
      </c>
      <c r="BY26" s="78" t="str">
        <f t="shared" si="24"/>
        <v/>
      </c>
      <c r="BZ26" s="78" t="str">
        <f>IF(ISNUMBER(P26),
IF(IsBold(P26), TIME(0,0,0),
IF(P26&gt;8, TIME(23,0,0) - (P26 - 1)/24, AS26)), "")</f>
        <v/>
      </c>
      <c r="CA26" s="78" t="str">
        <f t="shared" si="25"/>
        <v/>
      </c>
      <c r="CB26" s="78" t="str">
        <f>IF(ISNUMBER(Q26),
IF(IsBold(Q26), TIME(0,0,0),
IF(Q26&gt;8, TIME(23,0,0) - (Q26 - 1)/24, AS26)), "")</f>
        <v/>
      </c>
      <c r="CC26" s="78" t="str">
        <f t="shared" si="26"/>
        <v/>
      </c>
      <c r="CD26" s="78" t="str">
        <f>IF(ISNUMBER(R26),
IF(IsBold(R26), TIME(0,0,0),
IF(R26&gt;8, TIME(23,0,0) - (R26 - 1)/24, AS26)), "")</f>
        <v/>
      </c>
      <c r="CE26" s="78" t="str">
        <f t="shared" si="27"/>
        <v/>
      </c>
      <c r="CF26" s="78" t="str">
        <f>IF(ISNUMBER(S26),
IF(IsBold(S26), TIME(0,0,0),
IF(S26&gt;8, TIME(23,0,0) - (S26 - 1)/24, AS26)), "")</f>
        <v/>
      </c>
      <c r="CG26" s="99" t="str">
        <f t="shared" si="28"/>
        <v/>
      </c>
      <c r="CM26" s="104">
        <f t="shared" si="10"/>
        <v>16</v>
      </c>
      <c r="CN26" s="106">
        <f t="shared" si="11"/>
        <v>0</v>
      </c>
      <c r="CO26" s="95">
        <f t="shared" si="12"/>
        <v>0</v>
      </c>
      <c r="CP26" s="123" t="str">
        <f>IF(ISNUMBER(T26),
IF(IsBold(T26), TIME(0,0,0),
IF(T26&gt;8, TIME(23,0,0) - (T26 - 1)/24, AS26)), "")</f>
        <v/>
      </c>
      <c r="CQ26" s="124" t="str">
        <f t="shared" si="29"/>
        <v/>
      </c>
      <c r="CR26" s="124" t="str">
        <f>IF(ISNUMBER(U26),
IF(IsBold(U26), TIME(0,0,0),
IF(U26&gt;8, TIME(23,0,0) - (U26 - 1)/24, AS26)), "")</f>
        <v/>
      </c>
      <c r="CS26" s="124" t="str">
        <f t="shared" si="30"/>
        <v/>
      </c>
      <c r="CT26" s="124" t="str">
        <f>IF(ISNUMBER(V26),
IF(IsBold(V26), TIME(0,0,0),
IF(V26&gt;8, TIME(23,0,0) - (V26 - 1)/24, AS26)), "")</f>
        <v/>
      </c>
      <c r="CU26" s="124" t="str">
        <f t="shared" si="31"/>
        <v/>
      </c>
      <c r="CV26" s="124" t="str">
        <f>IF(ISNUMBER(W26),
IF(IsBold(W26), TIME(0,0,0),
IF(W26&gt;8, TIME(23,0,0) - (W26 - 1)/24, AS26)), "")</f>
        <v/>
      </c>
      <c r="CW26" s="124" t="str">
        <f t="shared" si="32"/>
        <v/>
      </c>
      <c r="CX26" s="124" t="str">
        <f>IF(ISNUMBER(X26),
IF(IsBold(X26), TIME(0,0,0),
IF(X26&gt;8, TIME(23,0,0) - (X26 - 1)/24, AS26)), "")</f>
        <v/>
      </c>
      <c r="CY26" s="124" t="str">
        <f t="shared" si="33"/>
        <v/>
      </c>
      <c r="CZ26" s="124" t="str">
        <f>IF(ISNUMBER(Y26),
IF(IsBold(Y26), TIME(0,0,0),
IF(Y26&gt;8, TIME(23,0,0) - (Y26 - 1)/24, AS26)), "")</f>
        <v/>
      </c>
      <c r="DA26" s="124" t="str">
        <f t="shared" si="34"/>
        <v/>
      </c>
      <c r="DB26" s="124" t="str">
        <f>IF(ISNUMBER(Z26),
IF(IsBold(Z26), TIME(0,0,0),
IF(Z26&gt;8, TIME(23,0,0) - (Z26 - 1)/24, AS26)), "")</f>
        <v/>
      </c>
      <c r="DC26" s="124" t="str">
        <f t="shared" si="35"/>
        <v/>
      </c>
      <c r="DD26" s="124" t="str">
        <f>IF(ISNUMBER(AA26),
IF(IsBold(AA26), TIME(0,0,0),
IF(AA26&gt;8, TIME(23,0,0) - (AA26 - 1)/24, AS26)), "")</f>
        <v/>
      </c>
      <c r="DE26" s="124" t="str">
        <f t="shared" si="36"/>
        <v/>
      </c>
      <c r="DF26" s="124" t="str">
        <f>IF(ISNUMBER(AB26),
IF(IsBold(AB26), TIME(0,0,0),
IF(AB26&gt;8, TIME(23,0,0) - (AB26 - 1)/24, AS26)), "")</f>
        <v/>
      </c>
      <c r="DG26" s="124" t="str">
        <f t="shared" si="37"/>
        <v/>
      </c>
      <c r="DH26" s="124" t="str">
        <f>IF(ISNUMBER(AC26),
IF(IsBold(AC26), TIME(0,0,0),
IF(AC26&gt;8, TIME(23,0,0) - (AC26 - 1)/24, AS26)), "")</f>
        <v/>
      </c>
      <c r="DI26" s="124" t="str">
        <f t="shared" si="38"/>
        <v/>
      </c>
      <c r="DJ26" s="124" t="str">
        <f>IF(ISNUMBER(AD26),
IF(IsBold(AD26), TIME(0,0,0),
IF(AD26&gt;8, TIME(23,0,0) - (AD26 - 1)/24, AS26)), "")</f>
        <v/>
      </c>
      <c r="DK26" s="124" t="str">
        <f t="shared" si="39"/>
        <v/>
      </c>
      <c r="DL26" s="124" t="str">
        <f>IF(ISNUMBER(AE26),
IF(IsBold(AE26), TIME(0,0,0),
IF(AE26&gt;8, TIME(23,0,0) - (AE26 - 1)/24, AS26)), "")</f>
        <v/>
      </c>
      <c r="DM26" s="124" t="str">
        <f t="shared" si="40"/>
        <v/>
      </c>
      <c r="DN26" s="124" t="str">
        <f>IF(ISNUMBER(AF26),
IF(IsBold(AF26), TIME(0,0,0),
IF(AF26&gt;8, TIME(23,0,0) - (AF26 - 1)/24, AS26)), "")</f>
        <v/>
      </c>
      <c r="DO26" s="124" t="str">
        <f t="shared" si="41"/>
        <v/>
      </c>
      <c r="DP26" s="124" t="str">
        <f>IF(ISNUMBER(AG26),
IF(IsBold(AG26), TIME(0,0,0),
IF(AG26&gt;8, TIME(23,0,0) - (AG26 - 1)/24, AS26)), "")</f>
        <v/>
      </c>
      <c r="DQ26" s="124" t="str">
        <f t="shared" si="42"/>
        <v/>
      </c>
      <c r="DR26" s="124" t="str">
        <f>IF(ISNUMBER(AH26),
IF(IsBold(AH26), TIME(0,0,0),
IF(AH26&gt;8, TIME(23,0,0) - (AH26 - 1)/24, AS26)), "")</f>
        <v/>
      </c>
      <c r="DS26" s="124" t="str">
        <f t="shared" si="43"/>
        <v/>
      </c>
      <c r="DT26" s="124" t="str">
        <f>IF(ISNUMBER(AI26),
IF(IsBold(AI26), TIME(0,0,0),
IF(AI26&gt;8, TIME(23,0,0) - (AI26 - 1)/24, AS26)), "")</f>
        <v/>
      </c>
      <c r="DU26" s="125" t="str">
        <f t="shared" si="44"/>
        <v/>
      </c>
      <c r="DV26" s="112">
        <f t="shared" si="45"/>
        <v>0</v>
      </c>
    </row>
    <row r="27" spans="1:126" x14ac:dyDescent="0.3">
      <c r="A27" s="12">
        <v>17</v>
      </c>
      <c r="B27" s="59"/>
      <c r="C27" s="60"/>
      <c r="D27" s="61"/>
      <c r="E27" s="57"/>
      <c r="F27" s="65"/>
      <c r="G27" s="66"/>
      <c r="H27" s="67"/>
      <c r="I27" s="65"/>
      <c r="J27" s="65"/>
      <c r="K27" s="66"/>
      <c r="L27" s="67"/>
      <c r="M27" s="65"/>
      <c r="N27" s="65"/>
      <c r="O27" s="66"/>
      <c r="P27" s="67"/>
      <c r="Q27" s="65"/>
      <c r="R27" s="65"/>
      <c r="S27" s="66"/>
      <c r="T27" s="67"/>
      <c r="U27" s="65"/>
      <c r="V27" s="65"/>
      <c r="W27" s="66"/>
      <c r="X27" s="67"/>
      <c r="Y27" s="65"/>
      <c r="Z27" s="65"/>
      <c r="AA27" s="66"/>
      <c r="AB27" s="67"/>
      <c r="AC27" s="65"/>
      <c r="AD27" s="65"/>
      <c r="AE27" s="66"/>
      <c r="AF27" s="67"/>
      <c r="AG27" s="57"/>
      <c r="AH27" s="57"/>
      <c r="AI27" s="57"/>
      <c r="AJ27" s="73">
        <f t="shared" si="1"/>
        <v>0</v>
      </c>
      <c r="AK27" s="74">
        <f t="shared" si="2"/>
        <v>0</v>
      </c>
      <c r="AL27" s="76">
        <f t="shared" si="3"/>
        <v>0</v>
      </c>
      <c r="AM27" s="74">
        <f t="shared" si="4"/>
        <v>0</v>
      </c>
      <c r="AN27" s="74">
        <f>SUM(CountWeekendDays(E10)+COUNTIF(E27:AI27,"С"))</f>
        <v>9</v>
      </c>
      <c r="AO27" s="77">
        <f t="shared" si="5"/>
        <v>0</v>
      </c>
      <c r="AP27" s="88">
        <f>(DAY(EOMONTH(E10, 0)) - AN27 - AK27) * AU27  * D27</f>
        <v>0</v>
      </c>
      <c r="AQ27" s="89">
        <f t="shared" si="49"/>
        <v>0</v>
      </c>
      <c r="AR27" s="90" t="e">
        <f t="shared" si="46"/>
        <v>#DIV/0!</v>
      </c>
      <c r="AS27" s="121">
        <v>0.33333333333333331</v>
      </c>
      <c r="AU27" s="28">
        <f t="shared" si="6"/>
        <v>7.7</v>
      </c>
      <c r="AV27" s="27"/>
      <c r="AW27" s="27"/>
      <c r="BA27" s="104">
        <f t="shared" si="7"/>
        <v>17</v>
      </c>
      <c r="BB27" s="106">
        <f t="shared" si="8"/>
        <v>0</v>
      </c>
      <c r="BC27" s="95">
        <f t="shared" si="9"/>
        <v>0</v>
      </c>
      <c r="BD27" s="118" t="str">
        <f>IF(ISNUMBER(E27),
IF(IsBold(E27), TIME(0,0,0),
IF(E27&gt;8, TIME(23,0,0) - (E27 - 1)/24, AS27)), "")</f>
        <v/>
      </c>
      <c r="BE27" s="78" t="str">
        <f t="shared" si="14"/>
        <v/>
      </c>
      <c r="BF27" s="78" t="str">
        <f>IF(ISNUMBER(F27),
IF(IsBold(F27), TIME(0,0,0),
IF(F27&gt;8, TIME(23,0,0) - (F27 - 1)/24, AS27)), "")</f>
        <v/>
      </c>
      <c r="BG27" s="78" t="str">
        <f t="shared" si="15"/>
        <v/>
      </c>
      <c r="BH27" s="78" t="str">
        <f>IF(ISNUMBER(G27),
IF(IsBold(G27), TIME(0,0,0),
IF(G27&gt;8, TIME(23,0,0) - (G27 - 1)/24, AS27)), "")</f>
        <v/>
      </c>
      <c r="BI27" s="78" t="str">
        <f t="shared" si="16"/>
        <v/>
      </c>
      <c r="BJ27" s="78" t="str">
        <f>IF(ISNUMBER(H27),
IF(IsBold(H27), TIME(0,0,0),
IF(H27&gt;8, TIME(23,0,0) - (H27 - 1)/24, AS27)), "")</f>
        <v/>
      </c>
      <c r="BK27" s="78" t="str">
        <f t="shared" si="17"/>
        <v/>
      </c>
      <c r="BL27" s="78" t="str">
        <f>IF(ISNUMBER(I27),
IF(IsBold(I27), TIME(0,0,0),
IF(I27&gt;8, TIME(23,0,0) - (I27 - 1)/24, AS27)), "")</f>
        <v/>
      </c>
      <c r="BM27" s="78" t="str">
        <f t="shared" si="18"/>
        <v/>
      </c>
      <c r="BN27" s="78" t="str">
        <f>IF(ISNUMBER(J27),
IF(IsBold(J27), TIME(0,0,0),
IF(J27&gt;8, TIME(23,0,0) - (J27 - 1)/24, AS27)), "")</f>
        <v/>
      </c>
      <c r="BO27" s="78" t="str">
        <f t="shared" si="19"/>
        <v/>
      </c>
      <c r="BP27" s="78" t="str">
        <f>IF(ISNUMBER(K27),
IF(IsBold(K27), TIME(0,0,0),
IF(K27&gt;8, TIME(23,0,0) - (K27 - 1)/24, AS27)), "")</f>
        <v/>
      </c>
      <c r="BQ27" s="78" t="str">
        <f t="shared" si="20"/>
        <v/>
      </c>
      <c r="BR27" s="78" t="str">
        <f>IF(ISNUMBER(L27),
IF(IsBold(L27), TIME(0,0,0),
IF(L27&gt;8, TIME(23,0,0) - (L27 - 1)/24, AS27)), "")</f>
        <v/>
      </c>
      <c r="BS27" s="78" t="str">
        <f t="shared" si="21"/>
        <v/>
      </c>
      <c r="BT27" s="78" t="str">
        <f>IF(ISNUMBER(M27),
IF(IsBold(M27), TIME(0,0,0),
IF(M27&gt;8, TIME(23,0,0) - (M27 - 1)/24, AS27)), "")</f>
        <v/>
      </c>
      <c r="BU27" s="78" t="str">
        <f t="shared" si="22"/>
        <v/>
      </c>
      <c r="BV27" s="78" t="str">
        <f>IF(ISNUMBER(N27),
IF(IsBold(N27), TIME(0,0,0),
IF(N27&gt;8, TIME(23,0,0) - (N27 - 1)/24, AS27)), "")</f>
        <v/>
      </c>
      <c r="BW27" s="78" t="str">
        <f t="shared" si="23"/>
        <v/>
      </c>
      <c r="BX27" s="78" t="str">
        <f>IF(ISNUMBER(O27),
IF(IsBold(O27), TIME(0,0,0),
IF(O27&gt;8, TIME(23,0,0) - (O27 - 1)/24, AS27)), "")</f>
        <v/>
      </c>
      <c r="BY27" s="78" t="str">
        <f t="shared" si="24"/>
        <v/>
      </c>
      <c r="BZ27" s="78" t="str">
        <f>IF(ISNUMBER(P27),
IF(IsBold(P27), TIME(0,0,0),
IF(P27&gt;8, TIME(23,0,0) - (P27 - 1)/24, AS27)), "")</f>
        <v/>
      </c>
      <c r="CA27" s="78" t="str">
        <f t="shared" si="25"/>
        <v/>
      </c>
      <c r="CB27" s="78" t="str">
        <f>IF(ISNUMBER(Q27),
IF(IsBold(Q27), TIME(0,0,0),
IF(Q27&gt;8, TIME(23,0,0) - (Q27 - 1)/24, AS27)), "")</f>
        <v/>
      </c>
      <c r="CC27" s="78" t="str">
        <f t="shared" si="26"/>
        <v/>
      </c>
      <c r="CD27" s="78" t="str">
        <f>IF(ISNUMBER(R27),
IF(IsBold(R27), TIME(0,0,0),
IF(R27&gt;8, TIME(23,0,0) - (R27 - 1)/24, AS27)), "")</f>
        <v/>
      </c>
      <c r="CE27" s="78" t="str">
        <f t="shared" si="27"/>
        <v/>
      </c>
      <c r="CF27" s="78" t="str">
        <f>IF(ISNUMBER(S27),
IF(IsBold(S27), TIME(0,0,0),
IF(S27&gt;8, TIME(23,0,0) - (S27 - 1)/24, AS27)), "")</f>
        <v/>
      </c>
      <c r="CG27" s="99" t="str">
        <f t="shared" si="28"/>
        <v/>
      </c>
      <c r="CM27" s="104">
        <f t="shared" si="10"/>
        <v>17</v>
      </c>
      <c r="CN27" s="106">
        <f t="shared" si="11"/>
        <v>0</v>
      </c>
      <c r="CO27" s="95">
        <f t="shared" si="12"/>
        <v>0</v>
      </c>
      <c r="CP27" s="123" t="str">
        <f>IF(ISNUMBER(T27),
IF(IsBold(T27), TIME(0,0,0),
IF(T27&gt;8, TIME(23,0,0) - (T27 - 1)/24, AS27)), "")</f>
        <v/>
      </c>
      <c r="CQ27" s="124" t="str">
        <f t="shared" si="29"/>
        <v/>
      </c>
      <c r="CR27" s="124" t="str">
        <f>IF(ISNUMBER(U27),
IF(IsBold(U27), TIME(0,0,0),
IF(U27&gt;8, TIME(23,0,0) - (U27 - 1)/24, AS27)), "")</f>
        <v/>
      </c>
      <c r="CS27" s="124" t="str">
        <f t="shared" si="30"/>
        <v/>
      </c>
      <c r="CT27" s="124" t="str">
        <f>IF(ISNUMBER(V27),
IF(IsBold(V27), TIME(0,0,0),
IF(V27&gt;8, TIME(23,0,0) - (V27 - 1)/24, AS27)), "")</f>
        <v/>
      </c>
      <c r="CU27" s="124" t="str">
        <f t="shared" si="31"/>
        <v/>
      </c>
      <c r="CV27" s="124" t="str">
        <f>IF(ISNUMBER(W27),
IF(IsBold(W27), TIME(0,0,0),
IF(W27&gt;8, TIME(23,0,0) - (W27 - 1)/24, AS27)), "")</f>
        <v/>
      </c>
      <c r="CW27" s="124" t="str">
        <f t="shared" si="32"/>
        <v/>
      </c>
      <c r="CX27" s="124" t="str">
        <f>IF(ISNUMBER(X27),
IF(IsBold(X27), TIME(0,0,0),
IF(X27&gt;8, TIME(23,0,0) - (X27 - 1)/24, AS27)), "")</f>
        <v/>
      </c>
      <c r="CY27" s="124" t="str">
        <f t="shared" si="33"/>
        <v/>
      </c>
      <c r="CZ27" s="124" t="str">
        <f>IF(ISNUMBER(Y27),
IF(IsBold(Y27), TIME(0,0,0),
IF(Y27&gt;8, TIME(23,0,0) - (Y27 - 1)/24, AS27)), "")</f>
        <v/>
      </c>
      <c r="DA27" s="124" t="str">
        <f t="shared" si="34"/>
        <v/>
      </c>
      <c r="DB27" s="124" t="str">
        <f>IF(ISNUMBER(Z27),
IF(IsBold(Z27), TIME(0,0,0),
IF(Z27&gt;8, TIME(23,0,0) - (Z27 - 1)/24, AS27)), "")</f>
        <v/>
      </c>
      <c r="DC27" s="124" t="str">
        <f t="shared" si="35"/>
        <v/>
      </c>
      <c r="DD27" s="124" t="str">
        <f>IF(ISNUMBER(AA27),
IF(IsBold(AA27), TIME(0,0,0),
IF(AA27&gt;8, TIME(23,0,0) - (AA27 - 1)/24, AS27)), "")</f>
        <v/>
      </c>
      <c r="DE27" s="124" t="str">
        <f t="shared" si="36"/>
        <v/>
      </c>
      <c r="DF27" s="124" t="str">
        <f>IF(ISNUMBER(AB27),
IF(IsBold(AB27), TIME(0,0,0),
IF(AB27&gt;8, TIME(23,0,0) - (AB27 - 1)/24, AS27)), "")</f>
        <v/>
      </c>
      <c r="DG27" s="124" t="str">
        <f t="shared" si="37"/>
        <v/>
      </c>
      <c r="DH27" s="124" t="str">
        <f>IF(ISNUMBER(AC27),
IF(IsBold(AC27), TIME(0,0,0),
IF(AC27&gt;8, TIME(23,0,0) - (AC27 - 1)/24, AS27)), "")</f>
        <v/>
      </c>
      <c r="DI27" s="124" t="str">
        <f t="shared" si="38"/>
        <v/>
      </c>
      <c r="DJ27" s="124" t="str">
        <f>IF(ISNUMBER(AD27),
IF(IsBold(AD27), TIME(0,0,0),
IF(AD27&gt;8, TIME(23,0,0) - (AD27 - 1)/24, AS27)), "")</f>
        <v/>
      </c>
      <c r="DK27" s="124" t="str">
        <f t="shared" si="39"/>
        <v/>
      </c>
      <c r="DL27" s="124" t="str">
        <f>IF(ISNUMBER(AE27),
IF(IsBold(AE27), TIME(0,0,0),
IF(AE27&gt;8, TIME(23,0,0) - (AE27 - 1)/24, AS27)), "")</f>
        <v/>
      </c>
      <c r="DM27" s="124" t="str">
        <f t="shared" si="40"/>
        <v/>
      </c>
      <c r="DN27" s="124" t="str">
        <f>IF(ISNUMBER(AF27),
IF(IsBold(AF27), TIME(0,0,0),
IF(AF27&gt;8, TIME(23,0,0) - (AF27 - 1)/24, AS27)), "")</f>
        <v/>
      </c>
      <c r="DO27" s="124" t="str">
        <f t="shared" si="41"/>
        <v/>
      </c>
      <c r="DP27" s="124" t="str">
        <f>IF(ISNUMBER(AG27),
IF(IsBold(AG27), TIME(0,0,0),
IF(AG27&gt;8, TIME(23,0,0) - (AG27 - 1)/24, AS27)), "")</f>
        <v/>
      </c>
      <c r="DQ27" s="124" t="str">
        <f t="shared" si="42"/>
        <v/>
      </c>
      <c r="DR27" s="124" t="str">
        <f>IF(ISNUMBER(AH27),
IF(IsBold(AH27), TIME(0,0,0),
IF(AH27&gt;8, TIME(23,0,0) - (AH27 - 1)/24, AS27)), "")</f>
        <v/>
      </c>
      <c r="DS27" s="124" t="str">
        <f t="shared" si="43"/>
        <v/>
      </c>
      <c r="DT27" s="124" t="str">
        <f>IF(ISNUMBER(AI27),
IF(IsBold(AI27), TIME(0,0,0),
IF(AI27&gt;8, TIME(23,0,0) - (AI27 - 1)/24, AS27)), "")</f>
        <v/>
      </c>
      <c r="DU27" s="125" t="str">
        <f t="shared" si="44"/>
        <v/>
      </c>
      <c r="DV27" s="112">
        <f t="shared" si="45"/>
        <v>0</v>
      </c>
    </row>
    <row r="28" spans="1:126" x14ac:dyDescent="0.3">
      <c r="A28" s="13">
        <v>18</v>
      </c>
      <c r="B28" s="59"/>
      <c r="C28" s="60"/>
      <c r="D28" s="61"/>
      <c r="E28" s="57"/>
      <c r="F28" s="65"/>
      <c r="G28" s="66"/>
      <c r="H28" s="67"/>
      <c r="I28" s="65"/>
      <c r="J28" s="65"/>
      <c r="K28" s="66"/>
      <c r="L28" s="67"/>
      <c r="M28" s="65"/>
      <c r="N28" s="65"/>
      <c r="O28" s="66"/>
      <c r="P28" s="67"/>
      <c r="Q28" s="65"/>
      <c r="R28" s="65"/>
      <c r="S28" s="66"/>
      <c r="T28" s="67"/>
      <c r="U28" s="65"/>
      <c r="V28" s="65"/>
      <c r="W28" s="66"/>
      <c r="X28" s="67"/>
      <c r="Y28" s="65"/>
      <c r="Z28" s="65"/>
      <c r="AA28" s="66"/>
      <c r="AB28" s="67"/>
      <c r="AC28" s="65"/>
      <c r="AD28" s="65"/>
      <c r="AE28" s="66"/>
      <c r="AF28" s="67"/>
      <c r="AG28" s="57"/>
      <c r="AH28" s="57"/>
      <c r="AI28" s="57"/>
      <c r="AJ28" s="73">
        <f t="shared" si="1"/>
        <v>0</v>
      </c>
      <c r="AK28" s="74">
        <f t="shared" si="2"/>
        <v>0</v>
      </c>
      <c r="AL28" s="76">
        <f t="shared" si="3"/>
        <v>0</v>
      </c>
      <c r="AM28" s="74">
        <f t="shared" si="4"/>
        <v>0</v>
      </c>
      <c r="AN28" s="74">
        <f>SUM(CountWeekendDays(E10)+COUNTIF(E28:AI28,"С"))</f>
        <v>9</v>
      </c>
      <c r="AO28" s="77">
        <f t="shared" si="5"/>
        <v>0</v>
      </c>
      <c r="AP28" s="88">
        <f>(DAY(EOMONTH(E10, 0)) - AN28 - AK28) * AU28  * D28</f>
        <v>0</v>
      </c>
      <c r="AQ28" s="89">
        <f t="shared" si="49"/>
        <v>0</v>
      </c>
      <c r="AR28" s="90" t="e">
        <f t="shared" si="46"/>
        <v>#DIV/0!</v>
      </c>
      <c r="AS28" s="121">
        <v>0.33333333333333331</v>
      </c>
      <c r="AU28" s="28">
        <f t="shared" si="6"/>
        <v>7.7</v>
      </c>
      <c r="AV28" s="27"/>
      <c r="AW28" s="27"/>
      <c r="BA28" s="104">
        <f t="shared" si="7"/>
        <v>18</v>
      </c>
      <c r="BB28" s="106">
        <f t="shared" si="8"/>
        <v>0</v>
      </c>
      <c r="BC28" s="95">
        <f t="shared" si="9"/>
        <v>0</v>
      </c>
      <c r="BD28" s="118" t="str">
        <f>IF(ISNUMBER(E28),
IF(IsBold(E28), TIME(0,0,0),
IF(E28&gt;8, TIME(23,0,0) - (E28 - 1)/24, AS28)), "")</f>
        <v/>
      </c>
      <c r="BE28" s="78" t="str">
        <f t="shared" si="14"/>
        <v/>
      </c>
      <c r="BF28" s="78" t="str">
        <f>IF(ISNUMBER(F28),
IF(IsBold(F28), TIME(0,0,0),
IF(F28&gt;8, TIME(23,0,0) - (F28 - 1)/24, AS28)), "")</f>
        <v/>
      </c>
      <c r="BG28" s="78" t="str">
        <f t="shared" si="15"/>
        <v/>
      </c>
      <c r="BH28" s="78" t="str">
        <f>IF(ISNUMBER(G28),
IF(IsBold(G28), TIME(0,0,0),
IF(G28&gt;8, TIME(23,0,0) - (G28 - 1)/24, AS28)), "")</f>
        <v/>
      </c>
      <c r="BI28" s="78" t="str">
        <f t="shared" si="16"/>
        <v/>
      </c>
      <c r="BJ28" s="78" t="str">
        <f>IF(ISNUMBER(H28),
IF(IsBold(H28), TIME(0,0,0),
IF(H28&gt;8, TIME(23,0,0) - (H28 - 1)/24, AS28)), "")</f>
        <v/>
      </c>
      <c r="BK28" s="78" t="str">
        <f t="shared" si="17"/>
        <v/>
      </c>
      <c r="BL28" s="78" t="str">
        <f>IF(ISNUMBER(I28),
IF(IsBold(I28), TIME(0,0,0),
IF(I28&gt;8, TIME(23,0,0) - (I28 - 1)/24, AS28)), "")</f>
        <v/>
      </c>
      <c r="BM28" s="78" t="str">
        <f t="shared" si="18"/>
        <v/>
      </c>
      <c r="BN28" s="78" t="str">
        <f>IF(ISNUMBER(J28),
IF(IsBold(J28), TIME(0,0,0),
IF(J28&gt;8, TIME(23,0,0) - (J28 - 1)/24, AS28)), "")</f>
        <v/>
      </c>
      <c r="BO28" s="78" t="str">
        <f t="shared" si="19"/>
        <v/>
      </c>
      <c r="BP28" s="78" t="str">
        <f>IF(ISNUMBER(K28),
IF(IsBold(K28), TIME(0,0,0),
IF(K28&gt;8, TIME(23,0,0) - (K28 - 1)/24, AS28)), "")</f>
        <v/>
      </c>
      <c r="BQ28" s="78" t="str">
        <f t="shared" si="20"/>
        <v/>
      </c>
      <c r="BR28" s="78" t="str">
        <f>IF(ISNUMBER(L28),
IF(IsBold(L28), TIME(0,0,0),
IF(L28&gt;8, TIME(23,0,0) - (L28 - 1)/24, AS28)), "")</f>
        <v/>
      </c>
      <c r="BS28" s="78" t="str">
        <f t="shared" si="21"/>
        <v/>
      </c>
      <c r="BT28" s="78" t="str">
        <f>IF(ISNUMBER(M28),
IF(IsBold(M28), TIME(0,0,0),
IF(M28&gt;8, TIME(23,0,0) - (M28 - 1)/24, AS28)), "")</f>
        <v/>
      </c>
      <c r="BU28" s="78" t="str">
        <f t="shared" si="22"/>
        <v/>
      </c>
      <c r="BV28" s="78" t="str">
        <f>IF(ISNUMBER(N28),
IF(IsBold(N28), TIME(0,0,0),
IF(N28&gt;8, TIME(23,0,0) - (N28 - 1)/24, AS28)), "")</f>
        <v/>
      </c>
      <c r="BW28" s="78" t="str">
        <f t="shared" si="23"/>
        <v/>
      </c>
      <c r="BX28" s="78" t="str">
        <f>IF(ISNUMBER(O28),
IF(IsBold(O28), TIME(0,0,0),
IF(O28&gt;8, TIME(23,0,0) - (O28 - 1)/24, AS28)), "")</f>
        <v/>
      </c>
      <c r="BY28" s="78" t="str">
        <f t="shared" si="24"/>
        <v/>
      </c>
      <c r="BZ28" s="78" t="str">
        <f>IF(ISNUMBER(P28),
IF(IsBold(P28), TIME(0,0,0),
IF(P28&gt;8, TIME(23,0,0) - (P28 - 1)/24, AS28)), "")</f>
        <v/>
      </c>
      <c r="CA28" s="78" t="str">
        <f t="shared" si="25"/>
        <v/>
      </c>
      <c r="CB28" s="78" t="str">
        <f>IF(ISNUMBER(Q28),
IF(IsBold(Q28), TIME(0,0,0),
IF(Q28&gt;8, TIME(23,0,0) - (Q28 - 1)/24, AS28)), "")</f>
        <v/>
      </c>
      <c r="CC28" s="78" t="str">
        <f t="shared" si="26"/>
        <v/>
      </c>
      <c r="CD28" s="78" t="str">
        <f>IF(ISNUMBER(R28),
IF(IsBold(R28), TIME(0,0,0),
IF(R28&gt;8, TIME(23,0,0) - (R28 - 1)/24, AS28)), "")</f>
        <v/>
      </c>
      <c r="CE28" s="78" t="str">
        <f t="shared" si="27"/>
        <v/>
      </c>
      <c r="CF28" s="78" t="str">
        <f>IF(ISNUMBER(S28),
IF(IsBold(S28), TIME(0,0,0),
IF(S28&gt;8, TIME(23,0,0) - (S28 - 1)/24, AS28)), "")</f>
        <v/>
      </c>
      <c r="CG28" s="99" t="str">
        <f t="shared" si="28"/>
        <v/>
      </c>
      <c r="CM28" s="104">
        <f t="shared" si="10"/>
        <v>18</v>
      </c>
      <c r="CN28" s="106">
        <f t="shared" si="11"/>
        <v>0</v>
      </c>
      <c r="CO28" s="95">
        <f t="shared" si="12"/>
        <v>0</v>
      </c>
      <c r="CP28" s="123" t="str">
        <f>IF(ISNUMBER(T28),
IF(IsBold(T28), TIME(0,0,0),
IF(T28&gt;8, TIME(23,0,0) - (T28 - 1)/24, AS28)), "")</f>
        <v/>
      </c>
      <c r="CQ28" s="124" t="str">
        <f t="shared" si="29"/>
        <v/>
      </c>
      <c r="CR28" s="124" t="str">
        <f>IF(ISNUMBER(U28),
IF(IsBold(U28), TIME(0,0,0),
IF(U28&gt;8, TIME(23,0,0) - (U28 - 1)/24, AS28)), "")</f>
        <v/>
      </c>
      <c r="CS28" s="124" t="str">
        <f t="shared" si="30"/>
        <v/>
      </c>
      <c r="CT28" s="124" t="str">
        <f>IF(ISNUMBER(V28),
IF(IsBold(V28), TIME(0,0,0),
IF(V28&gt;8, TIME(23,0,0) - (V28 - 1)/24, AS28)), "")</f>
        <v/>
      </c>
      <c r="CU28" s="124" t="str">
        <f t="shared" si="31"/>
        <v/>
      </c>
      <c r="CV28" s="124" t="str">
        <f>IF(ISNUMBER(W28),
IF(IsBold(W28), TIME(0,0,0),
IF(W28&gt;8, TIME(23,0,0) - (W28 - 1)/24, AS28)), "")</f>
        <v/>
      </c>
      <c r="CW28" s="124" t="str">
        <f t="shared" si="32"/>
        <v/>
      </c>
      <c r="CX28" s="124" t="str">
        <f>IF(ISNUMBER(X28),
IF(IsBold(X28), TIME(0,0,0),
IF(X28&gt;8, TIME(23,0,0) - (X28 - 1)/24, AS28)), "")</f>
        <v/>
      </c>
      <c r="CY28" s="124" t="str">
        <f t="shared" si="33"/>
        <v/>
      </c>
      <c r="CZ28" s="124" t="str">
        <f>IF(ISNUMBER(Y28),
IF(IsBold(Y28), TIME(0,0,0),
IF(Y28&gt;8, TIME(23,0,0) - (Y28 - 1)/24, AS28)), "")</f>
        <v/>
      </c>
      <c r="DA28" s="124" t="str">
        <f t="shared" si="34"/>
        <v/>
      </c>
      <c r="DB28" s="124" t="str">
        <f>IF(ISNUMBER(Z28),
IF(IsBold(Z28), TIME(0,0,0),
IF(Z28&gt;8, TIME(23,0,0) - (Z28 - 1)/24, AS28)), "")</f>
        <v/>
      </c>
      <c r="DC28" s="124" t="str">
        <f t="shared" si="35"/>
        <v/>
      </c>
      <c r="DD28" s="124" t="str">
        <f>IF(ISNUMBER(AA28),
IF(IsBold(AA28), TIME(0,0,0),
IF(AA28&gt;8, TIME(23,0,0) - (AA28 - 1)/24, AS28)), "")</f>
        <v/>
      </c>
      <c r="DE28" s="124" t="str">
        <f t="shared" si="36"/>
        <v/>
      </c>
      <c r="DF28" s="124" t="str">
        <f>IF(ISNUMBER(AB28),
IF(IsBold(AB28), TIME(0,0,0),
IF(AB28&gt;8, TIME(23,0,0) - (AB28 - 1)/24, AS28)), "")</f>
        <v/>
      </c>
      <c r="DG28" s="124" t="str">
        <f t="shared" si="37"/>
        <v/>
      </c>
      <c r="DH28" s="124" t="str">
        <f>IF(ISNUMBER(AC28),
IF(IsBold(AC28), TIME(0,0,0),
IF(AC28&gt;8, TIME(23,0,0) - (AC28 - 1)/24, AS28)), "")</f>
        <v/>
      </c>
      <c r="DI28" s="124" t="str">
        <f t="shared" si="38"/>
        <v/>
      </c>
      <c r="DJ28" s="124" t="str">
        <f>IF(ISNUMBER(AD28),
IF(IsBold(AD28), TIME(0,0,0),
IF(AD28&gt;8, TIME(23,0,0) - (AD28 - 1)/24, AS28)), "")</f>
        <v/>
      </c>
      <c r="DK28" s="124" t="str">
        <f t="shared" si="39"/>
        <v/>
      </c>
      <c r="DL28" s="124" t="str">
        <f>IF(ISNUMBER(AE28),
IF(IsBold(AE28), TIME(0,0,0),
IF(AE28&gt;8, TIME(23,0,0) - (AE28 - 1)/24, AS28)), "")</f>
        <v/>
      </c>
      <c r="DM28" s="124" t="str">
        <f t="shared" si="40"/>
        <v/>
      </c>
      <c r="DN28" s="124" t="str">
        <f>IF(ISNUMBER(AF28),
IF(IsBold(AF28), TIME(0,0,0),
IF(AF28&gt;8, TIME(23,0,0) - (AF28 - 1)/24, AS28)), "")</f>
        <v/>
      </c>
      <c r="DO28" s="124" t="str">
        <f t="shared" si="41"/>
        <v/>
      </c>
      <c r="DP28" s="124" t="str">
        <f>IF(ISNUMBER(AG28),
IF(IsBold(AG28), TIME(0,0,0),
IF(AG28&gt;8, TIME(23,0,0) - (AG28 - 1)/24, AS28)), "")</f>
        <v/>
      </c>
      <c r="DQ28" s="124" t="str">
        <f t="shared" si="42"/>
        <v/>
      </c>
      <c r="DR28" s="124" t="str">
        <f>IF(ISNUMBER(AH28),
IF(IsBold(AH28), TIME(0,0,0),
IF(AH28&gt;8, TIME(23,0,0) - (AH28 - 1)/24, AS28)), "")</f>
        <v/>
      </c>
      <c r="DS28" s="124" t="str">
        <f t="shared" si="43"/>
        <v/>
      </c>
      <c r="DT28" s="124" t="str">
        <f>IF(ISNUMBER(AI28),
IF(IsBold(AI28), TIME(0,0,0),
IF(AI28&gt;8, TIME(23,0,0) - (AI28 - 1)/24, AS28)), "")</f>
        <v/>
      </c>
      <c r="DU28" s="125" t="str">
        <f t="shared" si="44"/>
        <v/>
      </c>
      <c r="DV28" s="112">
        <f t="shared" si="45"/>
        <v>0</v>
      </c>
    </row>
    <row r="29" spans="1:126" x14ac:dyDescent="0.3">
      <c r="A29" s="13">
        <v>19</v>
      </c>
      <c r="B29" s="59"/>
      <c r="C29" s="60"/>
      <c r="D29" s="61"/>
      <c r="E29" s="57"/>
      <c r="F29" s="65"/>
      <c r="G29" s="66"/>
      <c r="H29" s="67"/>
      <c r="I29" s="65"/>
      <c r="J29" s="65"/>
      <c r="K29" s="66"/>
      <c r="L29" s="67"/>
      <c r="M29" s="65"/>
      <c r="N29" s="65"/>
      <c r="O29" s="66"/>
      <c r="P29" s="67"/>
      <c r="Q29" s="65"/>
      <c r="R29" s="65"/>
      <c r="S29" s="66"/>
      <c r="T29" s="67"/>
      <c r="U29" s="65"/>
      <c r="V29" s="65"/>
      <c r="W29" s="66"/>
      <c r="X29" s="67"/>
      <c r="Y29" s="65"/>
      <c r="Z29" s="65"/>
      <c r="AA29" s="66"/>
      <c r="AB29" s="67"/>
      <c r="AC29" s="65"/>
      <c r="AD29" s="65"/>
      <c r="AE29" s="66"/>
      <c r="AF29" s="67"/>
      <c r="AG29" s="57"/>
      <c r="AH29" s="57"/>
      <c r="AI29" s="57"/>
      <c r="AJ29" s="73">
        <f t="shared" si="1"/>
        <v>0</v>
      </c>
      <c r="AK29" s="74">
        <f t="shared" si="2"/>
        <v>0</v>
      </c>
      <c r="AL29" s="76">
        <f t="shared" si="3"/>
        <v>0</v>
      </c>
      <c r="AM29" s="74">
        <f t="shared" si="4"/>
        <v>0</v>
      </c>
      <c r="AN29" s="74">
        <f>SUM(CountWeekendDays(E10)+COUNTIF(E29:AI29,"С"))</f>
        <v>9</v>
      </c>
      <c r="AO29" s="77">
        <f t="shared" si="5"/>
        <v>0</v>
      </c>
      <c r="AP29" s="88">
        <f>(DAY(EOMONTH(E10, 0)) - AN29 - AK29) * AU29  * D29</f>
        <v>0</v>
      </c>
      <c r="AQ29" s="89">
        <f t="shared" si="49"/>
        <v>0</v>
      </c>
      <c r="AR29" s="90" t="e">
        <f t="shared" si="46"/>
        <v>#DIV/0!</v>
      </c>
      <c r="AS29" s="121">
        <v>0.33333333333333331</v>
      </c>
      <c r="AU29" s="28">
        <f t="shared" si="6"/>
        <v>7.7</v>
      </c>
      <c r="AV29" s="27"/>
      <c r="AW29" s="27"/>
      <c r="BA29" s="104">
        <f t="shared" si="7"/>
        <v>19</v>
      </c>
      <c r="BB29" s="106">
        <f t="shared" si="8"/>
        <v>0</v>
      </c>
      <c r="BC29" s="95">
        <f t="shared" si="9"/>
        <v>0</v>
      </c>
      <c r="BD29" s="118" t="str">
        <f>IF(ISNUMBER(E29),
IF(IsBold(E29), TIME(0,0,0),
IF(E29&gt;8, TIME(23,0,0) - (E29 - 1)/24, AS29)), "")</f>
        <v/>
      </c>
      <c r="BE29" s="78" t="str">
        <f t="shared" si="14"/>
        <v/>
      </c>
      <c r="BF29" s="78" t="str">
        <f>IF(ISNUMBER(F29),
IF(IsBold(F29), TIME(0,0,0),
IF(F29&gt;8, TIME(23,0,0) - (F29 - 1)/24, AS29)), "")</f>
        <v/>
      </c>
      <c r="BG29" s="78" t="str">
        <f t="shared" si="15"/>
        <v/>
      </c>
      <c r="BH29" s="78" t="str">
        <f>IF(ISNUMBER(G29),
IF(IsBold(G29), TIME(0,0,0),
IF(G29&gt;8, TIME(23,0,0) - (G29 - 1)/24, AS29)), "")</f>
        <v/>
      </c>
      <c r="BI29" s="78" t="str">
        <f t="shared" si="16"/>
        <v/>
      </c>
      <c r="BJ29" s="78" t="str">
        <f>IF(ISNUMBER(H29),
IF(IsBold(H29), TIME(0,0,0),
IF(H29&gt;8, TIME(23,0,0) - (H29 - 1)/24, AS29)), "")</f>
        <v/>
      </c>
      <c r="BK29" s="78" t="str">
        <f t="shared" si="17"/>
        <v/>
      </c>
      <c r="BL29" s="78" t="str">
        <f>IF(ISNUMBER(I29),
IF(IsBold(I29), TIME(0,0,0),
IF(I29&gt;8, TIME(23,0,0) - (I29 - 1)/24, AS29)), "")</f>
        <v/>
      </c>
      <c r="BM29" s="78" t="str">
        <f t="shared" si="18"/>
        <v/>
      </c>
      <c r="BN29" s="78" t="str">
        <f>IF(ISNUMBER(J29),
IF(IsBold(J29), TIME(0,0,0),
IF(J29&gt;8, TIME(23,0,0) - (J29 - 1)/24, AS29)), "")</f>
        <v/>
      </c>
      <c r="BO29" s="78" t="str">
        <f t="shared" si="19"/>
        <v/>
      </c>
      <c r="BP29" s="78" t="str">
        <f>IF(ISNUMBER(K29),
IF(IsBold(K29), TIME(0,0,0),
IF(K29&gt;8, TIME(23,0,0) - (K29 - 1)/24, AS29)), "")</f>
        <v/>
      </c>
      <c r="BQ29" s="78" t="str">
        <f t="shared" si="20"/>
        <v/>
      </c>
      <c r="BR29" s="78" t="str">
        <f>IF(ISNUMBER(L29),
IF(IsBold(L29), TIME(0,0,0),
IF(L29&gt;8, TIME(23,0,0) - (L29 - 1)/24, AS29)), "")</f>
        <v/>
      </c>
      <c r="BS29" s="78" t="str">
        <f t="shared" si="21"/>
        <v/>
      </c>
      <c r="BT29" s="78" t="str">
        <f>IF(ISNUMBER(M29),
IF(IsBold(M29), TIME(0,0,0),
IF(M29&gt;8, TIME(23,0,0) - (M29 - 1)/24, AS29)), "")</f>
        <v/>
      </c>
      <c r="BU29" s="78" t="str">
        <f t="shared" si="22"/>
        <v/>
      </c>
      <c r="BV29" s="78" t="str">
        <f>IF(ISNUMBER(N29),
IF(IsBold(N29), TIME(0,0,0),
IF(N29&gt;8, TIME(23,0,0) - (N29 - 1)/24, AS29)), "")</f>
        <v/>
      </c>
      <c r="BW29" s="78" t="str">
        <f t="shared" si="23"/>
        <v/>
      </c>
      <c r="BX29" s="78" t="str">
        <f>IF(ISNUMBER(O29),
IF(IsBold(O29), TIME(0,0,0),
IF(O29&gt;8, TIME(23,0,0) - (O29 - 1)/24, AS29)), "")</f>
        <v/>
      </c>
      <c r="BY29" s="78" t="str">
        <f t="shared" si="24"/>
        <v/>
      </c>
      <c r="BZ29" s="78" t="str">
        <f>IF(ISNUMBER(P29),
IF(IsBold(P29), TIME(0,0,0),
IF(P29&gt;8, TIME(23,0,0) - (P29 - 1)/24, AS29)), "")</f>
        <v/>
      </c>
      <c r="CA29" s="78" t="str">
        <f t="shared" si="25"/>
        <v/>
      </c>
      <c r="CB29" s="78" t="str">
        <f>IF(ISNUMBER(Q29),
IF(IsBold(Q29), TIME(0,0,0),
IF(Q29&gt;8, TIME(23,0,0) - (Q29 - 1)/24, AS29)), "")</f>
        <v/>
      </c>
      <c r="CC29" s="78" t="str">
        <f t="shared" si="26"/>
        <v/>
      </c>
      <c r="CD29" s="78" t="str">
        <f>IF(ISNUMBER(R29),
IF(IsBold(R29), TIME(0,0,0),
IF(R29&gt;8, TIME(23,0,0) - (R29 - 1)/24, AS29)), "")</f>
        <v/>
      </c>
      <c r="CE29" s="78" t="str">
        <f t="shared" si="27"/>
        <v/>
      </c>
      <c r="CF29" s="78" t="str">
        <f>IF(ISNUMBER(S29),
IF(IsBold(S29), TIME(0,0,0),
IF(S29&gt;8, TIME(23,0,0) - (S29 - 1)/24, AS29)), "")</f>
        <v/>
      </c>
      <c r="CG29" s="99" t="str">
        <f t="shared" si="28"/>
        <v/>
      </c>
      <c r="CM29" s="104">
        <f t="shared" si="10"/>
        <v>19</v>
      </c>
      <c r="CN29" s="106">
        <f t="shared" si="11"/>
        <v>0</v>
      </c>
      <c r="CO29" s="95">
        <f t="shared" si="12"/>
        <v>0</v>
      </c>
      <c r="CP29" s="123" t="str">
        <f>IF(ISNUMBER(T29),
IF(IsBold(T29), TIME(0,0,0),
IF(T29&gt;8, TIME(23,0,0) - (T29 - 1)/24, AS29)), "")</f>
        <v/>
      </c>
      <c r="CQ29" s="124" t="str">
        <f t="shared" si="29"/>
        <v/>
      </c>
      <c r="CR29" s="124" t="str">
        <f>IF(ISNUMBER(U29),
IF(IsBold(U29), TIME(0,0,0),
IF(U29&gt;8, TIME(23,0,0) - (U29 - 1)/24, AS29)), "")</f>
        <v/>
      </c>
      <c r="CS29" s="124" t="str">
        <f t="shared" si="30"/>
        <v/>
      </c>
      <c r="CT29" s="124" t="str">
        <f>IF(ISNUMBER(V29),
IF(IsBold(V29), TIME(0,0,0),
IF(V29&gt;8, TIME(23,0,0) - (V29 - 1)/24, AS29)), "")</f>
        <v/>
      </c>
      <c r="CU29" s="124" t="str">
        <f t="shared" si="31"/>
        <v/>
      </c>
      <c r="CV29" s="124" t="str">
        <f>IF(ISNUMBER(W29),
IF(IsBold(W29), TIME(0,0,0),
IF(W29&gt;8, TIME(23,0,0) - (W29 - 1)/24, AS29)), "")</f>
        <v/>
      </c>
      <c r="CW29" s="124" t="str">
        <f t="shared" si="32"/>
        <v/>
      </c>
      <c r="CX29" s="124" t="str">
        <f>IF(ISNUMBER(X29),
IF(IsBold(X29), TIME(0,0,0),
IF(X29&gt;8, TIME(23,0,0) - (X29 - 1)/24, AS29)), "")</f>
        <v/>
      </c>
      <c r="CY29" s="124" t="str">
        <f t="shared" si="33"/>
        <v/>
      </c>
      <c r="CZ29" s="124" t="str">
        <f>IF(ISNUMBER(Y29),
IF(IsBold(Y29), TIME(0,0,0),
IF(Y29&gt;8, TIME(23,0,0) - (Y29 - 1)/24, AS29)), "")</f>
        <v/>
      </c>
      <c r="DA29" s="124" t="str">
        <f t="shared" si="34"/>
        <v/>
      </c>
      <c r="DB29" s="124" t="str">
        <f>IF(ISNUMBER(Z29),
IF(IsBold(Z29), TIME(0,0,0),
IF(Z29&gt;8, TIME(23,0,0) - (Z29 - 1)/24, AS29)), "")</f>
        <v/>
      </c>
      <c r="DC29" s="124" t="str">
        <f t="shared" si="35"/>
        <v/>
      </c>
      <c r="DD29" s="124" t="str">
        <f>IF(ISNUMBER(AA29),
IF(IsBold(AA29), TIME(0,0,0),
IF(AA29&gt;8, TIME(23,0,0) - (AA29 - 1)/24, AS29)), "")</f>
        <v/>
      </c>
      <c r="DE29" s="124" t="str">
        <f t="shared" si="36"/>
        <v/>
      </c>
      <c r="DF29" s="124" t="str">
        <f>IF(ISNUMBER(AB29),
IF(IsBold(AB29), TIME(0,0,0),
IF(AB29&gt;8, TIME(23,0,0) - (AB29 - 1)/24, AS29)), "")</f>
        <v/>
      </c>
      <c r="DG29" s="124" t="str">
        <f t="shared" si="37"/>
        <v/>
      </c>
      <c r="DH29" s="124" t="str">
        <f>IF(ISNUMBER(AC29),
IF(IsBold(AC29), TIME(0,0,0),
IF(AC29&gt;8, TIME(23,0,0) - (AC29 - 1)/24, AS29)), "")</f>
        <v/>
      </c>
      <c r="DI29" s="124" t="str">
        <f t="shared" si="38"/>
        <v/>
      </c>
      <c r="DJ29" s="124" t="str">
        <f>IF(ISNUMBER(AD29),
IF(IsBold(AD29), TIME(0,0,0),
IF(AD29&gt;8, TIME(23,0,0) - (AD29 - 1)/24, AS29)), "")</f>
        <v/>
      </c>
      <c r="DK29" s="124" t="str">
        <f t="shared" si="39"/>
        <v/>
      </c>
      <c r="DL29" s="124" t="str">
        <f>IF(ISNUMBER(AE29),
IF(IsBold(AE29), TIME(0,0,0),
IF(AE29&gt;8, TIME(23,0,0) - (AE29 - 1)/24, AS29)), "")</f>
        <v/>
      </c>
      <c r="DM29" s="124" t="str">
        <f t="shared" si="40"/>
        <v/>
      </c>
      <c r="DN29" s="124" t="str">
        <f>IF(ISNUMBER(AF29),
IF(IsBold(AF29), TIME(0,0,0),
IF(AF29&gt;8, TIME(23,0,0) - (AF29 - 1)/24, AS29)), "")</f>
        <v/>
      </c>
      <c r="DO29" s="124" t="str">
        <f t="shared" si="41"/>
        <v/>
      </c>
      <c r="DP29" s="124" t="str">
        <f>IF(ISNUMBER(AG29),
IF(IsBold(AG29), TIME(0,0,0),
IF(AG29&gt;8, TIME(23,0,0) - (AG29 - 1)/24, AS29)), "")</f>
        <v/>
      </c>
      <c r="DQ29" s="124" t="str">
        <f t="shared" si="42"/>
        <v/>
      </c>
      <c r="DR29" s="124" t="str">
        <f>IF(ISNUMBER(AH29),
IF(IsBold(AH29), TIME(0,0,0),
IF(AH29&gt;8, TIME(23,0,0) - (AH29 - 1)/24, AS29)), "")</f>
        <v/>
      </c>
      <c r="DS29" s="124" t="str">
        <f t="shared" si="43"/>
        <v/>
      </c>
      <c r="DT29" s="124" t="str">
        <f>IF(ISNUMBER(AI29),
IF(IsBold(AI29), TIME(0,0,0),
IF(AI29&gt;8, TIME(23,0,0) - (AI29 - 1)/24, AS29)), "")</f>
        <v/>
      </c>
      <c r="DU29" s="125" t="str">
        <f t="shared" si="44"/>
        <v/>
      </c>
      <c r="DV29" s="112">
        <f t="shared" si="45"/>
        <v>0</v>
      </c>
    </row>
    <row r="30" spans="1:126" x14ac:dyDescent="0.3">
      <c r="A30" s="13">
        <v>20</v>
      </c>
      <c r="B30" s="59"/>
      <c r="C30" s="60"/>
      <c r="D30" s="61"/>
      <c r="E30" s="57"/>
      <c r="F30" s="65"/>
      <c r="G30" s="66"/>
      <c r="H30" s="67"/>
      <c r="I30" s="65"/>
      <c r="J30" s="65"/>
      <c r="K30" s="66"/>
      <c r="L30" s="67"/>
      <c r="M30" s="65"/>
      <c r="N30" s="65"/>
      <c r="O30" s="66"/>
      <c r="P30" s="67"/>
      <c r="Q30" s="65"/>
      <c r="R30" s="65"/>
      <c r="S30" s="66"/>
      <c r="T30" s="67"/>
      <c r="U30" s="65"/>
      <c r="V30" s="65"/>
      <c r="W30" s="66"/>
      <c r="X30" s="67"/>
      <c r="Y30" s="65"/>
      <c r="Z30" s="65"/>
      <c r="AA30" s="66"/>
      <c r="AB30" s="67"/>
      <c r="AC30" s="65"/>
      <c r="AD30" s="65"/>
      <c r="AE30" s="66"/>
      <c r="AF30" s="67"/>
      <c r="AG30" s="57"/>
      <c r="AH30" s="57"/>
      <c r="AI30" s="57"/>
      <c r="AJ30" s="73">
        <f t="shared" si="1"/>
        <v>0</v>
      </c>
      <c r="AK30" s="74">
        <f t="shared" si="2"/>
        <v>0</v>
      </c>
      <c r="AL30" s="76">
        <f t="shared" si="3"/>
        <v>0</v>
      </c>
      <c r="AM30" s="74">
        <f t="shared" si="4"/>
        <v>0</v>
      </c>
      <c r="AN30" s="74">
        <f>SUM(CountWeekendDays(E10)+COUNTIF(E30:AI30,"С"))</f>
        <v>9</v>
      </c>
      <c r="AO30" s="77">
        <f t="shared" si="5"/>
        <v>0</v>
      </c>
      <c r="AP30" s="88">
        <f>(DAY(EOMONTH(E10, 0)) - AN30 - AK30) * AU30  * D30</f>
        <v>0</v>
      </c>
      <c r="AQ30" s="89">
        <f t="shared" si="49"/>
        <v>0</v>
      </c>
      <c r="AR30" s="90" t="e">
        <f t="shared" si="46"/>
        <v>#DIV/0!</v>
      </c>
      <c r="AS30" s="121">
        <v>0.33333333333333331</v>
      </c>
      <c r="AU30" s="28">
        <f t="shared" si="6"/>
        <v>7.7</v>
      </c>
      <c r="AV30" s="27"/>
      <c r="AW30" s="27"/>
      <c r="BA30" s="104">
        <f t="shared" si="7"/>
        <v>20</v>
      </c>
      <c r="BB30" s="106">
        <f t="shared" si="8"/>
        <v>0</v>
      </c>
      <c r="BC30" s="95">
        <f t="shared" si="9"/>
        <v>0</v>
      </c>
      <c r="BD30" s="118" t="str">
        <f>IF(ISNUMBER(E30),
IF(IsBold(E30), TIME(0,0,0),
IF(E30&gt;8, TIME(23,0,0) - (E30 - 1)/24, AS30)), "")</f>
        <v/>
      </c>
      <c r="BE30" s="78" t="str">
        <f t="shared" si="14"/>
        <v/>
      </c>
      <c r="BF30" s="78" t="str">
        <f>IF(ISNUMBER(F30),
IF(IsBold(F30), TIME(0,0,0),
IF(F30&gt;8, TIME(23,0,0) - (F30 - 1)/24, AS30)), "")</f>
        <v/>
      </c>
      <c r="BG30" s="78" t="str">
        <f t="shared" si="15"/>
        <v/>
      </c>
      <c r="BH30" s="78" t="str">
        <f>IF(ISNUMBER(G30),
IF(IsBold(G30), TIME(0,0,0),
IF(G30&gt;8, TIME(23,0,0) - (G30 - 1)/24, AS30)), "")</f>
        <v/>
      </c>
      <c r="BI30" s="78" t="str">
        <f t="shared" si="16"/>
        <v/>
      </c>
      <c r="BJ30" s="78" t="str">
        <f>IF(ISNUMBER(H30),
IF(IsBold(H30), TIME(0,0,0),
IF(H30&gt;8, TIME(23,0,0) - (H30 - 1)/24, AS30)), "")</f>
        <v/>
      </c>
      <c r="BK30" s="78" t="str">
        <f t="shared" si="17"/>
        <v/>
      </c>
      <c r="BL30" s="78" t="str">
        <f>IF(ISNUMBER(I30),
IF(IsBold(I30), TIME(0,0,0),
IF(I30&gt;8, TIME(23,0,0) - (I30 - 1)/24, AS30)), "")</f>
        <v/>
      </c>
      <c r="BM30" s="78" t="str">
        <f t="shared" si="18"/>
        <v/>
      </c>
      <c r="BN30" s="78" t="str">
        <f>IF(ISNUMBER(J30),
IF(IsBold(J30), TIME(0,0,0),
IF(J30&gt;8, TIME(23,0,0) - (J30 - 1)/24, AS30)), "")</f>
        <v/>
      </c>
      <c r="BO30" s="78" t="str">
        <f t="shared" si="19"/>
        <v/>
      </c>
      <c r="BP30" s="78" t="str">
        <f>IF(ISNUMBER(K30),
IF(IsBold(K30), TIME(0,0,0),
IF(K30&gt;8, TIME(23,0,0) - (K30 - 1)/24, AS30)), "")</f>
        <v/>
      </c>
      <c r="BQ30" s="78" t="str">
        <f t="shared" si="20"/>
        <v/>
      </c>
      <c r="BR30" s="78" t="str">
        <f>IF(ISNUMBER(L30),
IF(IsBold(L30), TIME(0,0,0),
IF(L30&gt;8, TIME(23,0,0) - (L30 - 1)/24, AS30)), "")</f>
        <v/>
      </c>
      <c r="BS30" s="78" t="str">
        <f t="shared" si="21"/>
        <v/>
      </c>
      <c r="BT30" s="78" t="str">
        <f>IF(ISNUMBER(M30),
IF(IsBold(M30), TIME(0,0,0),
IF(M30&gt;8, TIME(23,0,0) - (M30 - 1)/24, AS30)), "")</f>
        <v/>
      </c>
      <c r="BU30" s="78" t="str">
        <f t="shared" si="22"/>
        <v/>
      </c>
      <c r="BV30" s="78" t="str">
        <f>IF(ISNUMBER(N30),
IF(IsBold(N30), TIME(0,0,0),
IF(N30&gt;8, TIME(23,0,0) - (N30 - 1)/24, AS30)), "")</f>
        <v/>
      </c>
      <c r="BW30" s="78" t="str">
        <f t="shared" si="23"/>
        <v/>
      </c>
      <c r="BX30" s="78" t="str">
        <f>IF(ISNUMBER(O30),
IF(IsBold(O30), TIME(0,0,0),
IF(O30&gt;8, TIME(23,0,0) - (O30 - 1)/24, AS30)), "")</f>
        <v/>
      </c>
      <c r="BY30" s="78" t="str">
        <f t="shared" si="24"/>
        <v/>
      </c>
      <c r="BZ30" s="78" t="str">
        <f>IF(ISNUMBER(P30),
IF(IsBold(P30), TIME(0,0,0),
IF(P30&gt;8, TIME(23,0,0) - (P30 - 1)/24, AS30)), "")</f>
        <v/>
      </c>
      <c r="CA30" s="78" t="str">
        <f t="shared" si="25"/>
        <v/>
      </c>
      <c r="CB30" s="78" t="str">
        <f>IF(ISNUMBER(Q30),
IF(IsBold(Q30), TIME(0,0,0),
IF(Q30&gt;8, TIME(23,0,0) - (Q30 - 1)/24, AS30)), "")</f>
        <v/>
      </c>
      <c r="CC30" s="78" t="str">
        <f t="shared" si="26"/>
        <v/>
      </c>
      <c r="CD30" s="78" t="str">
        <f>IF(ISNUMBER(R30),
IF(IsBold(R30), TIME(0,0,0),
IF(R30&gt;8, TIME(23,0,0) - (R30 - 1)/24, AS30)), "")</f>
        <v/>
      </c>
      <c r="CE30" s="78" t="str">
        <f t="shared" si="27"/>
        <v/>
      </c>
      <c r="CF30" s="78" t="str">
        <f>IF(ISNUMBER(S30),
IF(IsBold(S30), TIME(0,0,0),
IF(S30&gt;8, TIME(23,0,0) - (S30 - 1)/24, AS30)), "")</f>
        <v/>
      </c>
      <c r="CG30" s="99" t="str">
        <f t="shared" si="28"/>
        <v/>
      </c>
      <c r="CM30" s="104">
        <f t="shared" si="10"/>
        <v>20</v>
      </c>
      <c r="CN30" s="106">
        <f t="shared" si="11"/>
        <v>0</v>
      </c>
      <c r="CO30" s="95">
        <f t="shared" si="12"/>
        <v>0</v>
      </c>
      <c r="CP30" s="123" t="str">
        <f>IF(ISNUMBER(T30),
IF(IsBold(T30), TIME(0,0,0),
IF(T30&gt;8, TIME(23,0,0) - (T30 - 1)/24, AS30)), "")</f>
        <v/>
      </c>
      <c r="CQ30" s="124" t="str">
        <f t="shared" si="29"/>
        <v/>
      </c>
      <c r="CR30" s="124" t="str">
        <f>IF(ISNUMBER(U30),
IF(IsBold(U30), TIME(0,0,0),
IF(U30&gt;8, TIME(23,0,0) - (U30 - 1)/24, AS30)), "")</f>
        <v/>
      </c>
      <c r="CS30" s="124" t="str">
        <f t="shared" si="30"/>
        <v/>
      </c>
      <c r="CT30" s="124" t="str">
        <f>IF(ISNUMBER(V30),
IF(IsBold(V30), TIME(0,0,0),
IF(V30&gt;8, TIME(23,0,0) - (V30 - 1)/24, AS30)), "")</f>
        <v/>
      </c>
      <c r="CU30" s="124" t="str">
        <f t="shared" si="31"/>
        <v/>
      </c>
      <c r="CV30" s="124" t="str">
        <f>IF(ISNUMBER(W30),
IF(IsBold(W30), TIME(0,0,0),
IF(W30&gt;8, TIME(23,0,0) - (W30 - 1)/24, AS30)), "")</f>
        <v/>
      </c>
      <c r="CW30" s="124" t="str">
        <f t="shared" si="32"/>
        <v/>
      </c>
      <c r="CX30" s="124" t="str">
        <f>IF(ISNUMBER(X30),
IF(IsBold(X30), TIME(0,0,0),
IF(X30&gt;8, TIME(23,0,0) - (X30 - 1)/24, AS30)), "")</f>
        <v/>
      </c>
      <c r="CY30" s="124" t="str">
        <f t="shared" si="33"/>
        <v/>
      </c>
      <c r="CZ30" s="124" t="str">
        <f>IF(ISNUMBER(Y30),
IF(IsBold(Y30), TIME(0,0,0),
IF(Y30&gt;8, TIME(23,0,0) - (Y30 - 1)/24, AS30)), "")</f>
        <v/>
      </c>
      <c r="DA30" s="124" t="str">
        <f t="shared" si="34"/>
        <v/>
      </c>
      <c r="DB30" s="124" t="str">
        <f>IF(ISNUMBER(Z30),
IF(IsBold(Z30), TIME(0,0,0),
IF(Z30&gt;8, TIME(23,0,0) - (Z30 - 1)/24, AS30)), "")</f>
        <v/>
      </c>
      <c r="DC30" s="124" t="str">
        <f t="shared" si="35"/>
        <v/>
      </c>
      <c r="DD30" s="124" t="str">
        <f>IF(ISNUMBER(AA30),
IF(IsBold(AA30), TIME(0,0,0),
IF(AA30&gt;8, TIME(23,0,0) - (AA30 - 1)/24, AS30)), "")</f>
        <v/>
      </c>
      <c r="DE30" s="124" t="str">
        <f t="shared" si="36"/>
        <v/>
      </c>
      <c r="DF30" s="124" t="str">
        <f>IF(ISNUMBER(AB30),
IF(IsBold(AB30), TIME(0,0,0),
IF(AB30&gt;8, TIME(23,0,0) - (AB30 - 1)/24, AS30)), "")</f>
        <v/>
      </c>
      <c r="DG30" s="124" t="str">
        <f t="shared" si="37"/>
        <v/>
      </c>
      <c r="DH30" s="124" t="str">
        <f>IF(ISNUMBER(AC30),
IF(IsBold(AC30), TIME(0,0,0),
IF(AC30&gt;8, TIME(23,0,0) - (AC30 - 1)/24, AS30)), "")</f>
        <v/>
      </c>
      <c r="DI30" s="124" t="str">
        <f t="shared" si="38"/>
        <v/>
      </c>
      <c r="DJ30" s="124" t="str">
        <f>IF(ISNUMBER(AD30),
IF(IsBold(AD30), TIME(0,0,0),
IF(AD30&gt;8, TIME(23,0,0) - (AD30 - 1)/24, AS30)), "")</f>
        <v/>
      </c>
      <c r="DK30" s="124" t="str">
        <f t="shared" si="39"/>
        <v/>
      </c>
      <c r="DL30" s="124" t="str">
        <f>IF(ISNUMBER(AE30),
IF(IsBold(AE30), TIME(0,0,0),
IF(AE30&gt;8, TIME(23,0,0) - (AE30 - 1)/24, AS30)), "")</f>
        <v/>
      </c>
      <c r="DM30" s="124" t="str">
        <f t="shared" si="40"/>
        <v/>
      </c>
      <c r="DN30" s="124" t="str">
        <f>IF(ISNUMBER(AF30),
IF(IsBold(AF30), TIME(0,0,0),
IF(AF30&gt;8, TIME(23,0,0) - (AF30 - 1)/24, AS30)), "")</f>
        <v/>
      </c>
      <c r="DO30" s="124" t="str">
        <f t="shared" si="41"/>
        <v/>
      </c>
      <c r="DP30" s="124" t="str">
        <f>IF(ISNUMBER(AG30),
IF(IsBold(AG30), TIME(0,0,0),
IF(AG30&gt;8, TIME(23,0,0) - (AG30 - 1)/24, AS30)), "")</f>
        <v/>
      </c>
      <c r="DQ30" s="124" t="str">
        <f t="shared" si="42"/>
        <v/>
      </c>
      <c r="DR30" s="124" t="str">
        <f>IF(ISNUMBER(AH30),
IF(IsBold(AH30), TIME(0,0,0),
IF(AH30&gt;8, TIME(23,0,0) - (AH30 - 1)/24, AS30)), "")</f>
        <v/>
      </c>
      <c r="DS30" s="124" t="str">
        <f t="shared" si="43"/>
        <v/>
      </c>
      <c r="DT30" s="124" t="str">
        <f>IF(ISNUMBER(AI30),
IF(IsBold(AI30), TIME(0,0,0),
IF(AI30&gt;8, TIME(23,0,0) - (AI30 - 1)/24, AS30)), "")</f>
        <v/>
      </c>
      <c r="DU30" s="125" t="str">
        <f t="shared" si="44"/>
        <v/>
      </c>
      <c r="DV30" s="112">
        <f t="shared" si="45"/>
        <v>0</v>
      </c>
    </row>
    <row r="31" spans="1:126" x14ac:dyDescent="0.3">
      <c r="A31" s="13">
        <v>21</v>
      </c>
      <c r="B31" s="59"/>
      <c r="C31" s="60"/>
      <c r="D31" s="61"/>
      <c r="E31" s="57"/>
      <c r="F31" s="65"/>
      <c r="G31" s="66"/>
      <c r="H31" s="67"/>
      <c r="I31" s="65"/>
      <c r="J31" s="65"/>
      <c r="K31" s="66"/>
      <c r="L31" s="67"/>
      <c r="M31" s="65"/>
      <c r="N31" s="65"/>
      <c r="O31" s="66"/>
      <c r="P31" s="67"/>
      <c r="Q31" s="65"/>
      <c r="R31" s="65"/>
      <c r="S31" s="66"/>
      <c r="T31" s="67"/>
      <c r="U31" s="65"/>
      <c r="V31" s="65"/>
      <c r="W31" s="66"/>
      <c r="X31" s="67"/>
      <c r="Y31" s="65"/>
      <c r="Z31" s="65"/>
      <c r="AA31" s="66"/>
      <c r="AB31" s="67"/>
      <c r="AC31" s="65"/>
      <c r="AD31" s="65"/>
      <c r="AE31" s="66"/>
      <c r="AF31" s="67"/>
      <c r="AG31" s="57"/>
      <c r="AH31" s="57"/>
      <c r="AI31" s="57"/>
      <c r="AJ31" s="73">
        <f t="shared" si="1"/>
        <v>0</v>
      </c>
      <c r="AK31" s="74">
        <f t="shared" si="2"/>
        <v>0</v>
      </c>
      <c r="AL31" s="76">
        <f t="shared" si="3"/>
        <v>0</v>
      </c>
      <c r="AM31" s="74">
        <f t="shared" si="4"/>
        <v>0</v>
      </c>
      <c r="AN31" s="74">
        <f>SUM(CountWeekendDays(E10)+COUNTIF(E31:AI31,"С"))</f>
        <v>9</v>
      </c>
      <c r="AO31" s="77">
        <f t="shared" si="5"/>
        <v>0</v>
      </c>
      <c r="AP31" s="88">
        <f>(DAY(EOMONTH(E10, 0)) - AN31 - AK31) * AU31  * D31</f>
        <v>0</v>
      </c>
      <c r="AQ31" s="89">
        <f t="shared" si="49"/>
        <v>0</v>
      </c>
      <c r="AR31" s="90" t="e">
        <f t="shared" si="46"/>
        <v>#DIV/0!</v>
      </c>
      <c r="AS31" s="121">
        <v>0.33333333333333331</v>
      </c>
      <c r="AU31" s="28">
        <f t="shared" si="6"/>
        <v>7.7</v>
      </c>
      <c r="AV31" s="27"/>
      <c r="AW31" s="27"/>
      <c r="BA31" s="104">
        <f t="shared" si="7"/>
        <v>21</v>
      </c>
      <c r="BB31" s="106">
        <f t="shared" si="8"/>
        <v>0</v>
      </c>
      <c r="BC31" s="95">
        <f t="shared" si="9"/>
        <v>0</v>
      </c>
      <c r="BD31" s="118" t="str">
        <f>IF(ISNUMBER(E31),
IF(IsBold(E31), TIME(0,0,0),
IF(E31&gt;8, TIME(23,0,0) - (E31 - 1)/24, AS31)), "")</f>
        <v/>
      </c>
      <c r="BE31" s="78" t="str">
        <f t="shared" si="14"/>
        <v/>
      </c>
      <c r="BF31" s="78" t="str">
        <f>IF(ISNUMBER(F31),
IF(IsBold(F31), TIME(0,0,0),
IF(F31&gt;8, TIME(23,0,0) - (F31 - 1)/24, AS31)), "")</f>
        <v/>
      </c>
      <c r="BG31" s="78" t="str">
        <f t="shared" si="15"/>
        <v/>
      </c>
      <c r="BH31" s="78" t="str">
        <f>IF(ISNUMBER(G31),
IF(IsBold(G31), TIME(0,0,0),
IF(G31&gt;8, TIME(23,0,0) - (G31 - 1)/24, AS31)), "")</f>
        <v/>
      </c>
      <c r="BI31" s="78" t="str">
        <f t="shared" si="16"/>
        <v/>
      </c>
      <c r="BJ31" s="78" t="str">
        <f>IF(ISNUMBER(H31),
IF(IsBold(H31), TIME(0,0,0),
IF(H31&gt;8, TIME(23,0,0) - (H31 - 1)/24, AS31)), "")</f>
        <v/>
      </c>
      <c r="BK31" s="78" t="str">
        <f t="shared" si="17"/>
        <v/>
      </c>
      <c r="BL31" s="78" t="str">
        <f>IF(ISNUMBER(I31),
IF(IsBold(I31), TIME(0,0,0),
IF(I31&gt;8, TIME(23,0,0) - (I31 - 1)/24, AS31)), "")</f>
        <v/>
      </c>
      <c r="BM31" s="78" t="str">
        <f t="shared" si="18"/>
        <v/>
      </c>
      <c r="BN31" s="78" t="str">
        <f>IF(ISNUMBER(J31),
IF(IsBold(J31), TIME(0,0,0),
IF(J31&gt;8, TIME(23,0,0) - (J31 - 1)/24, AS31)), "")</f>
        <v/>
      </c>
      <c r="BO31" s="78" t="str">
        <f t="shared" si="19"/>
        <v/>
      </c>
      <c r="BP31" s="78" t="str">
        <f>IF(ISNUMBER(K31),
IF(IsBold(K31), TIME(0,0,0),
IF(K31&gt;8, TIME(23,0,0) - (K31 - 1)/24, AS31)), "")</f>
        <v/>
      </c>
      <c r="BQ31" s="78" t="str">
        <f t="shared" si="20"/>
        <v/>
      </c>
      <c r="BR31" s="78" t="str">
        <f>IF(ISNUMBER(L31),
IF(IsBold(L31), TIME(0,0,0),
IF(L31&gt;8, TIME(23,0,0) - (L31 - 1)/24, AS31)), "")</f>
        <v/>
      </c>
      <c r="BS31" s="78" t="str">
        <f t="shared" si="21"/>
        <v/>
      </c>
      <c r="BT31" s="78" t="str">
        <f>IF(ISNUMBER(M31),
IF(IsBold(M31), TIME(0,0,0),
IF(M31&gt;8, TIME(23,0,0) - (M31 - 1)/24, AS31)), "")</f>
        <v/>
      </c>
      <c r="BU31" s="78" t="str">
        <f t="shared" si="22"/>
        <v/>
      </c>
      <c r="BV31" s="78" t="str">
        <f>IF(ISNUMBER(N31),
IF(IsBold(N31), TIME(0,0,0),
IF(N31&gt;8, TIME(23,0,0) - (N31 - 1)/24, AS31)), "")</f>
        <v/>
      </c>
      <c r="BW31" s="78" t="str">
        <f t="shared" si="23"/>
        <v/>
      </c>
      <c r="BX31" s="78" t="str">
        <f>IF(ISNUMBER(O31),
IF(IsBold(O31), TIME(0,0,0),
IF(O31&gt;8, TIME(23,0,0) - (O31 - 1)/24, AS31)), "")</f>
        <v/>
      </c>
      <c r="BY31" s="78" t="str">
        <f t="shared" si="24"/>
        <v/>
      </c>
      <c r="BZ31" s="78" t="str">
        <f>IF(ISNUMBER(P31),
IF(IsBold(P31), TIME(0,0,0),
IF(P31&gt;8, TIME(23,0,0) - (P31 - 1)/24, AS31)), "")</f>
        <v/>
      </c>
      <c r="CA31" s="78" t="str">
        <f t="shared" si="25"/>
        <v/>
      </c>
      <c r="CB31" s="78" t="str">
        <f>IF(ISNUMBER(Q31),
IF(IsBold(Q31), TIME(0,0,0),
IF(Q31&gt;8, TIME(23,0,0) - (Q31 - 1)/24, AS31)), "")</f>
        <v/>
      </c>
      <c r="CC31" s="78" t="str">
        <f t="shared" si="26"/>
        <v/>
      </c>
      <c r="CD31" s="78" t="str">
        <f>IF(ISNUMBER(R31),
IF(IsBold(R31), TIME(0,0,0),
IF(R31&gt;8, TIME(23,0,0) - (R31 - 1)/24, AS31)), "")</f>
        <v/>
      </c>
      <c r="CE31" s="78" t="str">
        <f t="shared" si="27"/>
        <v/>
      </c>
      <c r="CF31" s="78" t="str">
        <f>IF(ISNUMBER(S31),
IF(IsBold(S31), TIME(0,0,0),
IF(S31&gt;8, TIME(23,0,0) - (S31 - 1)/24, AS31)), "")</f>
        <v/>
      </c>
      <c r="CG31" s="99" t="str">
        <f t="shared" si="28"/>
        <v/>
      </c>
      <c r="CM31" s="104">
        <f t="shared" si="10"/>
        <v>21</v>
      </c>
      <c r="CN31" s="106">
        <f t="shared" si="11"/>
        <v>0</v>
      </c>
      <c r="CO31" s="95">
        <f t="shared" si="12"/>
        <v>0</v>
      </c>
      <c r="CP31" s="123" t="str">
        <f>IF(ISNUMBER(T31),
IF(IsBold(T31), TIME(0,0,0),
IF(T31&gt;8, TIME(23,0,0) - (T31 - 1)/24, AS31)), "")</f>
        <v/>
      </c>
      <c r="CQ31" s="124" t="str">
        <f t="shared" si="29"/>
        <v/>
      </c>
      <c r="CR31" s="124" t="str">
        <f>IF(ISNUMBER(U31),
IF(IsBold(U31), TIME(0,0,0),
IF(U31&gt;8, TIME(23,0,0) - (U31 - 1)/24, AS31)), "")</f>
        <v/>
      </c>
      <c r="CS31" s="124" t="str">
        <f t="shared" si="30"/>
        <v/>
      </c>
      <c r="CT31" s="124" t="str">
        <f>IF(ISNUMBER(V31),
IF(IsBold(V31), TIME(0,0,0),
IF(V31&gt;8, TIME(23,0,0) - (V31 - 1)/24, AS31)), "")</f>
        <v/>
      </c>
      <c r="CU31" s="124" t="str">
        <f t="shared" si="31"/>
        <v/>
      </c>
      <c r="CV31" s="124" t="str">
        <f>IF(ISNUMBER(W31),
IF(IsBold(W31), TIME(0,0,0),
IF(W31&gt;8, TIME(23,0,0) - (W31 - 1)/24, AS31)), "")</f>
        <v/>
      </c>
      <c r="CW31" s="124" t="str">
        <f t="shared" si="32"/>
        <v/>
      </c>
      <c r="CX31" s="124" t="str">
        <f>IF(ISNUMBER(X31),
IF(IsBold(X31), TIME(0,0,0),
IF(X31&gt;8, TIME(23,0,0) - (X31 - 1)/24, AS31)), "")</f>
        <v/>
      </c>
      <c r="CY31" s="124" t="str">
        <f t="shared" si="33"/>
        <v/>
      </c>
      <c r="CZ31" s="124" t="str">
        <f>IF(ISNUMBER(Y31),
IF(IsBold(Y31), TIME(0,0,0),
IF(Y31&gt;8, TIME(23,0,0) - (Y31 - 1)/24, AS31)), "")</f>
        <v/>
      </c>
      <c r="DA31" s="124" t="str">
        <f t="shared" si="34"/>
        <v/>
      </c>
      <c r="DB31" s="124" t="str">
        <f>IF(ISNUMBER(Z31),
IF(IsBold(Z31), TIME(0,0,0),
IF(Z31&gt;8, TIME(23,0,0) - (Z31 - 1)/24, AS31)), "")</f>
        <v/>
      </c>
      <c r="DC31" s="124" t="str">
        <f t="shared" si="35"/>
        <v/>
      </c>
      <c r="DD31" s="124" t="str">
        <f>IF(ISNUMBER(AA31),
IF(IsBold(AA31), TIME(0,0,0),
IF(AA31&gt;8, TIME(23,0,0) - (AA31 - 1)/24, AS31)), "")</f>
        <v/>
      </c>
      <c r="DE31" s="124" t="str">
        <f t="shared" si="36"/>
        <v/>
      </c>
      <c r="DF31" s="124" t="str">
        <f>IF(ISNUMBER(AB31),
IF(IsBold(AB31), TIME(0,0,0),
IF(AB31&gt;8, TIME(23,0,0) - (AB31 - 1)/24, AS31)), "")</f>
        <v/>
      </c>
      <c r="DG31" s="124" t="str">
        <f t="shared" si="37"/>
        <v/>
      </c>
      <c r="DH31" s="124" t="str">
        <f>IF(ISNUMBER(AC31),
IF(IsBold(AC31), TIME(0,0,0),
IF(AC31&gt;8, TIME(23,0,0) - (AC31 - 1)/24, AS31)), "")</f>
        <v/>
      </c>
      <c r="DI31" s="124" t="str">
        <f t="shared" si="38"/>
        <v/>
      </c>
      <c r="DJ31" s="124" t="str">
        <f>IF(ISNUMBER(AD31),
IF(IsBold(AD31), TIME(0,0,0),
IF(AD31&gt;8, TIME(23,0,0) - (AD31 - 1)/24, AS31)), "")</f>
        <v/>
      </c>
      <c r="DK31" s="124" t="str">
        <f t="shared" si="39"/>
        <v/>
      </c>
      <c r="DL31" s="124" t="str">
        <f>IF(ISNUMBER(AE31),
IF(IsBold(AE31), TIME(0,0,0),
IF(AE31&gt;8, TIME(23,0,0) - (AE31 - 1)/24, AS31)), "")</f>
        <v/>
      </c>
      <c r="DM31" s="124" t="str">
        <f t="shared" si="40"/>
        <v/>
      </c>
      <c r="DN31" s="124" t="str">
        <f>IF(ISNUMBER(AF31),
IF(IsBold(AF31), TIME(0,0,0),
IF(AF31&gt;8, TIME(23,0,0) - (AF31 - 1)/24, AS31)), "")</f>
        <v/>
      </c>
      <c r="DO31" s="124" t="str">
        <f t="shared" si="41"/>
        <v/>
      </c>
      <c r="DP31" s="124" t="str">
        <f>IF(ISNUMBER(AG31),
IF(IsBold(AG31), TIME(0,0,0),
IF(AG31&gt;8, TIME(23,0,0) - (AG31 - 1)/24, AS31)), "")</f>
        <v/>
      </c>
      <c r="DQ31" s="124" t="str">
        <f t="shared" si="42"/>
        <v/>
      </c>
      <c r="DR31" s="124" t="str">
        <f>IF(ISNUMBER(AH31),
IF(IsBold(AH31), TIME(0,0,0),
IF(AH31&gt;8, TIME(23,0,0) - (AH31 - 1)/24, AS31)), "")</f>
        <v/>
      </c>
      <c r="DS31" s="124" t="str">
        <f t="shared" si="43"/>
        <v/>
      </c>
      <c r="DT31" s="124" t="str">
        <f>IF(ISNUMBER(AI31),
IF(IsBold(AI31), TIME(0,0,0),
IF(AI31&gt;8, TIME(23,0,0) - (AI31 - 1)/24, AS31)), "")</f>
        <v/>
      </c>
      <c r="DU31" s="125" t="str">
        <f t="shared" si="44"/>
        <v/>
      </c>
      <c r="DV31" s="112">
        <f t="shared" si="45"/>
        <v>0</v>
      </c>
    </row>
    <row r="32" spans="1:126" ht="15" thickBot="1" x14ac:dyDescent="0.35">
      <c r="A32" s="14">
        <v>22</v>
      </c>
      <c r="B32" s="72"/>
      <c r="C32" s="60"/>
      <c r="D32" s="61"/>
      <c r="E32" s="57"/>
      <c r="F32" s="65"/>
      <c r="G32" s="66"/>
      <c r="H32" s="67"/>
      <c r="I32" s="65"/>
      <c r="J32" s="65"/>
      <c r="K32" s="66"/>
      <c r="L32" s="67"/>
      <c r="M32" s="65"/>
      <c r="N32" s="65"/>
      <c r="O32" s="66"/>
      <c r="P32" s="67"/>
      <c r="Q32" s="65"/>
      <c r="R32" s="65"/>
      <c r="S32" s="66"/>
      <c r="T32" s="67"/>
      <c r="U32" s="65"/>
      <c r="V32" s="65"/>
      <c r="W32" s="66"/>
      <c r="X32" s="67"/>
      <c r="Y32" s="65"/>
      <c r="Z32" s="65"/>
      <c r="AA32" s="66"/>
      <c r="AB32" s="67"/>
      <c r="AC32" s="65"/>
      <c r="AD32" s="65"/>
      <c r="AE32" s="66"/>
      <c r="AF32" s="67"/>
      <c r="AG32" s="57"/>
      <c r="AH32" s="57"/>
      <c r="AI32" s="57"/>
      <c r="AJ32" s="73">
        <f t="shared" si="1"/>
        <v>0</v>
      </c>
      <c r="AK32" s="74">
        <f t="shared" si="2"/>
        <v>0</v>
      </c>
      <c r="AL32" s="76">
        <f t="shared" si="3"/>
        <v>0</v>
      </c>
      <c r="AM32" s="74">
        <f t="shared" si="4"/>
        <v>0</v>
      </c>
      <c r="AN32" s="74">
        <f>SUM(CountWeekendDays(E10)+COUNTIF(E32:AI32,"С"))</f>
        <v>9</v>
      </c>
      <c r="AO32" s="84">
        <f t="shared" si="5"/>
        <v>0</v>
      </c>
      <c r="AP32" s="91">
        <f>(DAY(EOMONTH(E10, 0)) - AN32 - AK32) * AU32  * D32</f>
        <v>0</v>
      </c>
      <c r="AQ32" s="92">
        <f t="shared" si="49"/>
        <v>0</v>
      </c>
      <c r="AR32" s="93" t="e">
        <f t="shared" si="46"/>
        <v>#DIV/0!</v>
      </c>
      <c r="AS32" s="122">
        <v>0.33333333333333331</v>
      </c>
      <c r="AU32" s="28">
        <f t="shared" si="6"/>
        <v>7.7</v>
      </c>
      <c r="AV32" s="27"/>
      <c r="AW32" s="27"/>
      <c r="BA32" s="107">
        <f t="shared" si="7"/>
        <v>22</v>
      </c>
      <c r="BB32" s="108">
        <f t="shared" si="8"/>
        <v>0</v>
      </c>
      <c r="BC32" s="96">
        <f t="shared" si="9"/>
        <v>0</v>
      </c>
      <c r="BD32" s="119" t="str">
        <f>IF(ISNUMBER(E32),
IF(IsBold(E32), TIME(0,0,0),
IF(E32&gt;8, TIME(23,0,0) - (E32 - 1)/24, AS32)), "")</f>
        <v/>
      </c>
      <c r="BE32" s="100" t="str">
        <f t="shared" si="14"/>
        <v/>
      </c>
      <c r="BF32" s="100" t="str">
        <f>IF(ISNUMBER(F32),
IF(IsBold(F32), TIME(0,0,0),
IF(F32&gt;8, TIME(23,0,0) - (F32 - 1)/24, AS32)), "")</f>
        <v/>
      </c>
      <c r="BG32" s="100" t="str">
        <f t="shared" si="15"/>
        <v/>
      </c>
      <c r="BH32" s="100" t="str">
        <f>IF(ISNUMBER(G32),
IF(IsBold(G32), TIME(0,0,0),
IF(G32&gt;8, TIME(23,0,0) - (G32 - 1)/24, AS32)), "")</f>
        <v/>
      </c>
      <c r="BI32" s="100" t="str">
        <f t="shared" si="16"/>
        <v/>
      </c>
      <c r="BJ32" s="100" t="str">
        <f>IF(ISNUMBER(H32),
IF(IsBold(H32), TIME(0,0,0),
IF(H32&gt;8, TIME(23,0,0) - (H32 - 1)/24, AS32)), "")</f>
        <v/>
      </c>
      <c r="BK32" s="100" t="str">
        <f t="shared" si="17"/>
        <v/>
      </c>
      <c r="BL32" s="100" t="str">
        <f>IF(ISNUMBER(I32),
IF(IsBold(I32), TIME(0,0,0),
IF(I32&gt;8, TIME(23,0,0) - (I32 - 1)/24, AS32)), "")</f>
        <v/>
      </c>
      <c r="BM32" s="100" t="str">
        <f t="shared" si="18"/>
        <v/>
      </c>
      <c r="BN32" s="100" t="str">
        <f>IF(ISNUMBER(J32),
IF(IsBold(J32), TIME(0,0,0),
IF(J32&gt;8, TIME(23,0,0) - (J32 - 1)/24, AS32)), "")</f>
        <v/>
      </c>
      <c r="BO32" s="100" t="str">
        <f t="shared" si="19"/>
        <v/>
      </c>
      <c r="BP32" s="100" t="str">
        <f>IF(ISNUMBER(K32),
IF(IsBold(K32), TIME(0,0,0),
IF(K32&gt;8, TIME(23,0,0) - (K32 - 1)/24, AS32)), "")</f>
        <v/>
      </c>
      <c r="BQ32" s="100" t="str">
        <f t="shared" si="20"/>
        <v/>
      </c>
      <c r="BR32" s="100" t="str">
        <f>IF(ISNUMBER(L32),
IF(IsBold(L32), TIME(0,0,0),
IF(L32&gt;8, TIME(23,0,0) - (L32 - 1)/24, AS32)), "")</f>
        <v/>
      </c>
      <c r="BS32" s="100" t="str">
        <f t="shared" si="21"/>
        <v/>
      </c>
      <c r="BT32" s="100" t="str">
        <f>IF(ISNUMBER(M32),
IF(IsBold(M32), TIME(0,0,0),
IF(M32&gt;8, TIME(23,0,0) - (M32 - 1)/24, AS32)), "")</f>
        <v/>
      </c>
      <c r="BU32" s="100" t="str">
        <f t="shared" si="22"/>
        <v/>
      </c>
      <c r="BV32" s="100" t="str">
        <f>IF(ISNUMBER(N32),
IF(IsBold(N32), TIME(0,0,0),
IF(N32&gt;8, TIME(23,0,0) - (N32 - 1)/24, AS32)), "")</f>
        <v/>
      </c>
      <c r="BW32" s="100" t="str">
        <f t="shared" si="23"/>
        <v/>
      </c>
      <c r="BX32" s="100" t="str">
        <f>IF(ISNUMBER(O32),
IF(IsBold(O32), TIME(0,0,0),
IF(O32&gt;8, TIME(23,0,0) - (O32 - 1)/24, AS32)), "")</f>
        <v/>
      </c>
      <c r="BY32" s="100" t="str">
        <f t="shared" si="24"/>
        <v/>
      </c>
      <c r="BZ32" s="100" t="str">
        <f>IF(ISNUMBER(P32),
IF(IsBold(P32), TIME(0,0,0),
IF(P32&gt;8, TIME(23,0,0) - (P32 - 1)/24, AS32)), "")</f>
        <v/>
      </c>
      <c r="CA32" s="100" t="str">
        <f t="shared" si="25"/>
        <v/>
      </c>
      <c r="CB32" s="100" t="str">
        <f>IF(ISNUMBER(Q32),
IF(IsBold(Q32), TIME(0,0,0),
IF(Q32&gt;8, TIME(23,0,0) - (Q32 - 1)/24, AS32)), "")</f>
        <v/>
      </c>
      <c r="CC32" s="100" t="str">
        <f t="shared" si="26"/>
        <v/>
      </c>
      <c r="CD32" s="100" t="str">
        <f>IF(ISNUMBER(R32),
IF(IsBold(R32), TIME(0,0,0),
IF(R32&gt;8, TIME(23,0,0) - (R32 - 1)/24, AS32)), "")</f>
        <v/>
      </c>
      <c r="CE32" s="100" t="str">
        <f t="shared" si="27"/>
        <v/>
      </c>
      <c r="CF32" s="100" t="str">
        <f>IF(ISNUMBER(S32),
IF(IsBold(S32), TIME(0,0,0),
IF(S32&gt;8, TIME(23,0,0) - (S32 - 1)/24, AS32)), "")</f>
        <v/>
      </c>
      <c r="CG32" s="101" t="str">
        <f t="shared" si="28"/>
        <v/>
      </c>
      <c r="CM32" s="107">
        <f t="shared" si="10"/>
        <v>22</v>
      </c>
      <c r="CN32" s="110">
        <f t="shared" si="11"/>
        <v>0</v>
      </c>
      <c r="CO32" s="96">
        <f t="shared" si="12"/>
        <v>0</v>
      </c>
      <c r="CP32" s="126" t="str">
        <f>IF(ISNUMBER(T32),
IF(IsBold(T32), TIME(0,0,0),
IF(T32&gt;8, TIME(23,0,0) - (T32 - 1)/24, AS32)), "")</f>
        <v/>
      </c>
      <c r="CQ32" s="127" t="str">
        <f t="shared" si="29"/>
        <v/>
      </c>
      <c r="CR32" s="127" t="str">
        <f>IF(ISNUMBER(U32),
IF(IsBold(U32), TIME(0,0,0),
IF(U32&gt;8, TIME(23,0,0) - (U32 - 1)/24, AS32)), "")</f>
        <v/>
      </c>
      <c r="CS32" s="127" t="str">
        <f t="shared" si="30"/>
        <v/>
      </c>
      <c r="CT32" s="127" t="str">
        <f>IF(ISNUMBER(V32),
IF(IsBold(V32), TIME(0,0,0),
IF(V32&gt;8, TIME(23,0,0) - (V32 - 1)/24, AS32)), "")</f>
        <v/>
      </c>
      <c r="CU32" s="127" t="str">
        <f t="shared" si="31"/>
        <v/>
      </c>
      <c r="CV32" s="127" t="str">
        <f>IF(ISNUMBER(W32),
IF(IsBold(W32), TIME(0,0,0),
IF(W32&gt;8, TIME(23,0,0) - (W32 - 1)/24, AS32)), "")</f>
        <v/>
      </c>
      <c r="CW32" s="127" t="str">
        <f t="shared" si="32"/>
        <v/>
      </c>
      <c r="CX32" s="127" t="str">
        <f>IF(ISNUMBER(X32),
IF(IsBold(X32), TIME(0,0,0),
IF(X32&gt;8, TIME(23,0,0) - (X32 - 1)/24, AS32)), "")</f>
        <v/>
      </c>
      <c r="CY32" s="127" t="str">
        <f t="shared" si="33"/>
        <v/>
      </c>
      <c r="CZ32" s="127" t="str">
        <f>IF(ISNUMBER(Y32),
IF(IsBold(Y32), TIME(0,0,0),
IF(Y32&gt;8, TIME(23,0,0) - (Y32 - 1)/24, AS32)), "")</f>
        <v/>
      </c>
      <c r="DA32" s="127" t="str">
        <f t="shared" si="34"/>
        <v/>
      </c>
      <c r="DB32" s="127" t="str">
        <f>IF(ISNUMBER(Z32),
IF(IsBold(Z32), TIME(0,0,0),
IF(Z32&gt;8, TIME(23,0,0) - (Z32 - 1)/24, AS32)), "")</f>
        <v/>
      </c>
      <c r="DC32" s="127" t="str">
        <f t="shared" si="35"/>
        <v/>
      </c>
      <c r="DD32" s="127" t="str">
        <f>IF(ISNUMBER(AA32),
IF(IsBold(AA32), TIME(0,0,0),
IF(AA32&gt;8, TIME(23,0,0) - (AA32 - 1)/24, AS32)), "")</f>
        <v/>
      </c>
      <c r="DE32" s="127" t="str">
        <f t="shared" si="36"/>
        <v/>
      </c>
      <c r="DF32" s="127" t="str">
        <f>IF(ISNUMBER(AB32),
IF(IsBold(AB32), TIME(0,0,0),
IF(AB32&gt;8, TIME(23,0,0) - (AB32 - 1)/24, AS32)), "")</f>
        <v/>
      </c>
      <c r="DG32" s="127" t="str">
        <f t="shared" si="37"/>
        <v/>
      </c>
      <c r="DH32" s="127" t="str">
        <f>IF(ISNUMBER(AC32),
IF(IsBold(AC32), TIME(0,0,0),
IF(AC32&gt;8, TIME(23,0,0) - (AC32 - 1)/24, AS32)), "")</f>
        <v/>
      </c>
      <c r="DI32" s="127" t="str">
        <f t="shared" si="38"/>
        <v/>
      </c>
      <c r="DJ32" s="127" t="str">
        <f>IF(ISNUMBER(AD32),
IF(IsBold(AD32), TIME(0,0,0),
IF(AD32&gt;8, TIME(23,0,0) - (AD32 - 1)/24, AS32)), "")</f>
        <v/>
      </c>
      <c r="DK32" s="127" t="str">
        <f t="shared" si="39"/>
        <v/>
      </c>
      <c r="DL32" s="127" t="str">
        <f>IF(ISNUMBER(AE32),
IF(IsBold(AE32), TIME(0,0,0),
IF(AE32&gt;8, TIME(23,0,0) - (AE32 - 1)/24, AS32)), "")</f>
        <v/>
      </c>
      <c r="DM32" s="127" t="str">
        <f t="shared" si="40"/>
        <v/>
      </c>
      <c r="DN32" s="127" t="str">
        <f>IF(ISNUMBER(AF32),
IF(IsBold(AF32), TIME(0,0,0),
IF(AF32&gt;8, TIME(23,0,0) - (AF32 - 1)/24, AS32)), "")</f>
        <v/>
      </c>
      <c r="DO32" s="127" t="str">
        <f t="shared" si="41"/>
        <v/>
      </c>
      <c r="DP32" s="127" t="str">
        <f>IF(ISNUMBER(AG32),
IF(IsBold(AG32), TIME(0,0,0),
IF(AG32&gt;8, TIME(23,0,0) - (AG32 - 1)/24, AS32)), "")</f>
        <v/>
      </c>
      <c r="DQ32" s="127" t="str">
        <f t="shared" si="42"/>
        <v/>
      </c>
      <c r="DR32" s="127" t="str">
        <f>IF(ISNUMBER(AH32),
IF(IsBold(AH32), TIME(0,0,0),
IF(AH32&gt;8, TIME(23,0,0) - (AH32 - 1)/24, AS32)), "")</f>
        <v/>
      </c>
      <c r="DS32" s="127" t="str">
        <f t="shared" si="43"/>
        <v/>
      </c>
      <c r="DT32" s="127" t="str">
        <f>IF(ISNUMBER(AI32),
IF(IsBold(AI32), TIME(0,0,0),
IF(AI32&gt;8, TIME(23,0,0) - (AI32 - 1)/24, AS32)), "")</f>
        <v/>
      </c>
      <c r="DU32" s="128" t="str">
        <f t="shared" si="44"/>
        <v/>
      </c>
      <c r="DV32" s="113">
        <f t="shared" si="45"/>
        <v>0</v>
      </c>
    </row>
    <row r="33" spans="1:125" x14ac:dyDescent="0.3">
      <c r="A33" s="30"/>
      <c r="B33" s="30"/>
      <c r="C33" s="30"/>
      <c r="D33" s="30"/>
      <c r="E33" s="30"/>
      <c r="F33" s="30"/>
      <c r="G33" s="30"/>
      <c r="H33" s="30"/>
      <c r="I33" s="30"/>
      <c r="J33" s="30"/>
      <c r="K33" s="30"/>
      <c r="L33" s="30"/>
      <c r="M33" s="30"/>
      <c r="N33" s="30"/>
      <c r="O33" s="30"/>
      <c r="P33" s="30"/>
      <c r="Q33" s="30"/>
      <c r="R33" s="30"/>
      <c r="S33" s="30"/>
      <c r="T33" s="30"/>
      <c r="U33" s="30"/>
      <c r="V33" s="30"/>
      <c r="W33" s="30"/>
      <c r="X33" s="30"/>
      <c r="Y33" s="30"/>
      <c r="Z33" s="30"/>
      <c r="AA33" s="30"/>
      <c r="AB33" s="30"/>
      <c r="AC33" s="30"/>
      <c r="AD33" s="30"/>
      <c r="AE33" s="30"/>
      <c r="AF33" s="30"/>
      <c r="AG33" s="49"/>
      <c r="AH33" s="49"/>
      <c r="AI33" s="49"/>
      <c r="AJ33" s="30"/>
      <c r="AK33" s="30"/>
      <c r="AL33" s="30"/>
      <c r="AM33" s="30"/>
      <c r="AN33" s="30"/>
      <c r="AP33"/>
      <c r="CN33" s="9"/>
      <c r="CO33" s="9"/>
      <c r="CP33" s="9"/>
      <c r="CQ33" s="9"/>
      <c r="CR33" s="9"/>
      <c r="CS33" s="9"/>
      <c r="CT33" s="9"/>
      <c r="CU33" s="9"/>
      <c r="CV33" s="9"/>
      <c r="CW33" s="9"/>
      <c r="CX33" s="9"/>
      <c r="CY33" s="9"/>
      <c r="CZ33" s="9"/>
      <c r="DA33" s="9"/>
      <c r="DB33" s="9"/>
      <c r="DC33" s="9"/>
      <c r="DD33" s="9"/>
      <c r="DE33" s="9"/>
      <c r="DF33" s="9"/>
      <c r="DG33" s="9"/>
      <c r="DH33" s="9"/>
      <c r="DI33" s="9"/>
      <c r="DJ33" s="9"/>
      <c r="DK33" s="9"/>
      <c r="DL33" s="9"/>
      <c r="DM33" s="9"/>
      <c r="DN33" s="9"/>
      <c r="DO33" s="9"/>
      <c r="DP33" s="9"/>
      <c r="DQ33" s="9"/>
      <c r="DR33" s="9"/>
      <c r="DS33" s="9"/>
      <c r="DT33" s="9"/>
      <c r="DU33" s="9"/>
    </row>
    <row r="34" spans="1:125" x14ac:dyDescent="0.3">
      <c r="A34" s="31"/>
      <c r="B34" s="31"/>
      <c r="C34" s="31"/>
      <c r="D34" s="31"/>
      <c r="E34" s="31"/>
      <c r="F34" s="31"/>
      <c r="G34" s="31"/>
      <c r="H34" s="31"/>
      <c r="I34" s="31"/>
      <c r="J34" s="31"/>
      <c r="K34" s="31"/>
      <c r="L34" s="31"/>
      <c r="M34" s="31"/>
      <c r="N34" s="31"/>
      <c r="O34" s="31"/>
      <c r="P34" s="31"/>
      <c r="Q34" s="31"/>
      <c r="R34" s="31"/>
      <c r="S34" s="31"/>
      <c r="T34" s="31"/>
      <c r="U34" s="31"/>
      <c r="V34" s="31"/>
      <c r="W34" s="31"/>
      <c r="X34" s="31"/>
      <c r="Y34" s="31"/>
      <c r="Z34" s="31"/>
      <c r="AA34" s="31"/>
      <c r="AB34" s="31"/>
      <c r="AC34" s="31"/>
      <c r="AD34" s="31"/>
      <c r="AE34" s="31"/>
      <c r="AF34" s="31"/>
      <c r="AJ34" s="31"/>
      <c r="AK34" s="31"/>
      <c r="AL34" s="31"/>
      <c r="AM34" s="31"/>
      <c r="AN34" s="31"/>
      <c r="AP34"/>
    </row>
    <row r="35" spans="1:125" ht="21" x14ac:dyDescent="0.4">
      <c r="A35" s="3"/>
      <c r="B35" s="3"/>
      <c r="C35" s="37" t="s">
        <v>46</v>
      </c>
      <c r="D35" s="4"/>
      <c r="E35" s="4"/>
      <c r="F35" s="4"/>
      <c r="G35" s="4"/>
      <c r="H35" s="4"/>
      <c r="I35" s="4"/>
      <c r="J35" s="4"/>
      <c r="K35" s="4"/>
      <c r="L35" s="4"/>
      <c r="M35" s="4"/>
      <c r="N35" s="4"/>
      <c r="O35" s="4"/>
      <c r="P35" s="4"/>
      <c r="Q35" s="4"/>
      <c r="R35" s="4"/>
      <c r="S35" s="4"/>
      <c r="T35" s="4"/>
      <c r="U35" s="4"/>
      <c r="V35" s="4"/>
      <c r="W35" s="4"/>
      <c r="X35" s="37" t="s">
        <v>47</v>
      </c>
      <c r="Y35" s="4"/>
      <c r="Z35" s="4"/>
      <c r="AA35" s="4"/>
      <c r="AB35" s="4"/>
      <c r="AC35" s="4"/>
      <c r="AD35" s="4"/>
      <c r="AE35" s="4"/>
      <c r="AF35" s="4"/>
      <c r="AG35" s="51"/>
      <c r="AH35" s="51"/>
      <c r="AI35" s="51"/>
      <c r="AJ35" s="4"/>
      <c r="AK35" s="4"/>
      <c r="AL35" s="4"/>
      <c r="AM35" s="4"/>
      <c r="AN35" s="3"/>
      <c r="AP35" s="3"/>
      <c r="AQ35" s="3"/>
      <c r="BA35" s="3"/>
      <c r="BB35" s="3"/>
      <c r="BC35" s="37" t="s">
        <v>46</v>
      </c>
      <c r="BD35" s="4"/>
      <c r="BE35" s="4"/>
      <c r="BF35" s="4"/>
      <c r="BG35" s="4"/>
      <c r="BH35" s="4"/>
      <c r="BI35" s="4"/>
      <c r="BJ35" s="4"/>
      <c r="BK35" s="4"/>
      <c r="BL35" s="4"/>
      <c r="BM35" s="4"/>
      <c r="BN35" s="4"/>
      <c r="BO35" s="4"/>
      <c r="BP35" s="4"/>
      <c r="BQ35" s="4"/>
      <c r="BR35" s="4"/>
      <c r="BS35" s="4"/>
      <c r="BT35" s="4"/>
      <c r="BU35" s="4"/>
      <c r="BV35" s="4"/>
      <c r="BW35" s="4"/>
      <c r="BX35" s="37" t="s">
        <v>47</v>
      </c>
      <c r="BY35" s="4"/>
      <c r="BZ35" s="4"/>
      <c r="CA35" s="4"/>
      <c r="CB35" s="4"/>
      <c r="CM35" s="3"/>
      <c r="CN35" s="3"/>
      <c r="CO35" s="37" t="s">
        <v>46</v>
      </c>
      <c r="CP35" s="4"/>
      <c r="CQ35" s="4"/>
      <c r="CR35" s="4"/>
      <c r="CS35" s="4"/>
      <c r="CT35" s="4"/>
      <c r="CU35" s="4"/>
      <c r="CV35" s="4"/>
      <c r="CW35" s="4"/>
      <c r="CX35" s="4"/>
      <c r="CY35" s="4"/>
      <c r="CZ35" s="4"/>
      <c r="DA35" s="4"/>
      <c r="DB35" s="4"/>
      <c r="DC35" s="4"/>
      <c r="DD35" s="4"/>
      <c r="DE35" s="4"/>
      <c r="DF35" s="4"/>
      <c r="DG35" s="4"/>
      <c r="DH35" s="4"/>
      <c r="DI35" s="4"/>
      <c r="DJ35" s="37" t="s">
        <v>47</v>
      </c>
      <c r="DK35" s="4"/>
      <c r="DL35" s="4"/>
      <c r="DM35" s="4"/>
      <c r="DN35" s="4"/>
    </row>
  </sheetData>
  <sheetProtection algorithmName="SHA-512" hashValue="mKuhN+t7OHy5MUOV3BnuF90+3yjUfs/zKGonaNsELi+cIYEFUf0cLWUPrA66JNejZd2jduc3hXzt9pERtzGS2w==" saltValue="6czqa1ZB4TyI5G7CAmTRpQ==" spinCount="100000" sheet="1" formatCells="0" selectLockedCells="1"/>
  <mergeCells count="50">
    <mergeCell ref="DV9:DV10"/>
    <mergeCell ref="DP9:DQ9"/>
    <mergeCell ref="DR9:DS9"/>
    <mergeCell ref="DT9:DU9"/>
    <mergeCell ref="CM9:CM10"/>
    <mergeCell ref="CN9:CN10"/>
    <mergeCell ref="CP9:CQ9"/>
    <mergeCell ref="DF9:DG9"/>
    <mergeCell ref="DH9:DI9"/>
    <mergeCell ref="DJ9:DK9"/>
    <mergeCell ref="DL9:DM9"/>
    <mergeCell ref="DN9:DO9"/>
    <mergeCell ref="CV9:CW9"/>
    <mergeCell ref="CX9:CY9"/>
    <mergeCell ref="CZ9:DA9"/>
    <mergeCell ref="DB9:DC9"/>
    <mergeCell ref="DD9:DE9"/>
    <mergeCell ref="CO9:CO10"/>
    <mergeCell ref="CR9:CS9"/>
    <mergeCell ref="CT9:CU9"/>
    <mergeCell ref="BH9:BI9"/>
    <mergeCell ref="BJ9:BK9"/>
    <mergeCell ref="BL9:BM9"/>
    <mergeCell ref="BN9:BO9"/>
    <mergeCell ref="BP9:BQ9"/>
    <mergeCell ref="CB9:CC9"/>
    <mergeCell ref="CD9:CE9"/>
    <mergeCell ref="CF9:CG9"/>
    <mergeCell ref="BR9:BS9"/>
    <mergeCell ref="BT9:BU9"/>
    <mergeCell ref="BV9:BW9"/>
    <mergeCell ref="BX9:BY9"/>
    <mergeCell ref="BZ9:CA9"/>
    <mergeCell ref="BC9:BC10"/>
    <mergeCell ref="BD9:BE9"/>
    <mergeCell ref="BF9:BG9"/>
    <mergeCell ref="AP9:AP10"/>
    <mergeCell ref="AQ9:AQ10"/>
    <mergeCell ref="AR9:AR10"/>
    <mergeCell ref="BA9:BA10"/>
    <mergeCell ref="BB9:BB10"/>
    <mergeCell ref="AS9:AS10"/>
    <mergeCell ref="C9:C10"/>
    <mergeCell ref="AN9:AN10"/>
    <mergeCell ref="AO9:AO10"/>
    <mergeCell ref="A9:A10"/>
    <mergeCell ref="B9:B10"/>
    <mergeCell ref="D9:D10"/>
    <mergeCell ref="AJ9:AJ10"/>
    <mergeCell ref="AK9:AL9"/>
  </mergeCells>
  <conditionalFormatting sqref="E10">
    <cfRule type="expression" dxfId="59" priority="60">
      <formula>IsWeekend(E10)</formula>
    </cfRule>
  </conditionalFormatting>
  <conditionalFormatting sqref="F10">
    <cfRule type="expression" dxfId="58" priority="59">
      <formula>IsWeekend(F10)</formula>
    </cfRule>
  </conditionalFormatting>
  <conditionalFormatting sqref="G10">
    <cfRule type="expression" dxfId="57" priority="58">
      <formula>IsWeekend(G10)</formula>
    </cfRule>
  </conditionalFormatting>
  <conditionalFormatting sqref="H10">
    <cfRule type="expression" dxfId="56" priority="57">
      <formula>IsWeekend(H10)</formula>
    </cfRule>
  </conditionalFormatting>
  <conditionalFormatting sqref="I10">
    <cfRule type="expression" dxfId="55" priority="56">
      <formula>IsWeekend(I10)</formula>
    </cfRule>
  </conditionalFormatting>
  <conditionalFormatting sqref="J10">
    <cfRule type="expression" dxfId="54" priority="55">
      <formula>IsWeekend(J10)</formula>
    </cfRule>
  </conditionalFormatting>
  <conditionalFormatting sqref="K10">
    <cfRule type="expression" dxfId="53" priority="54">
      <formula>IsWeekend(K10)</formula>
    </cfRule>
  </conditionalFormatting>
  <conditionalFormatting sqref="L10">
    <cfRule type="expression" dxfId="52" priority="53">
      <formula>IsWeekend(L10)</formula>
    </cfRule>
  </conditionalFormatting>
  <conditionalFormatting sqref="M10">
    <cfRule type="expression" dxfId="51" priority="52">
      <formula>IsWeekend(M10)</formula>
    </cfRule>
  </conditionalFormatting>
  <conditionalFormatting sqref="N10">
    <cfRule type="expression" dxfId="50" priority="51">
      <formula>IsWeekend(N10)</formula>
    </cfRule>
  </conditionalFormatting>
  <conditionalFormatting sqref="O10">
    <cfRule type="expression" dxfId="49" priority="50">
      <formula>IsWeekend(O10)</formula>
    </cfRule>
  </conditionalFormatting>
  <conditionalFormatting sqref="P10">
    <cfRule type="expression" dxfId="48" priority="49">
      <formula>IsWeekend(P10)</formula>
    </cfRule>
  </conditionalFormatting>
  <conditionalFormatting sqref="Q10">
    <cfRule type="expression" dxfId="47" priority="48">
      <formula>IsWeekend(Q10)</formula>
    </cfRule>
  </conditionalFormatting>
  <conditionalFormatting sqref="R10">
    <cfRule type="expression" dxfId="46" priority="47">
      <formula>IsWeekend(R10)</formula>
    </cfRule>
  </conditionalFormatting>
  <conditionalFormatting sqref="S10">
    <cfRule type="expression" dxfId="45" priority="46">
      <formula>IsWeekend(S10)</formula>
    </cfRule>
  </conditionalFormatting>
  <conditionalFormatting sqref="T10">
    <cfRule type="expression" dxfId="44" priority="45">
      <formula>IsWeekend(T10)</formula>
    </cfRule>
  </conditionalFormatting>
  <conditionalFormatting sqref="U10">
    <cfRule type="expression" dxfId="43" priority="44">
      <formula>IsWeekend(U10)</formula>
    </cfRule>
  </conditionalFormatting>
  <conditionalFormatting sqref="V10">
    <cfRule type="expression" dxfId="42" priority="43">
      <formula>IsWeekend(V10)</formula>
    </cfRule>
  </conditionalFormatting>
  <conditionalFormatting sqref="W10">
    <cfRule type="expression" dxfId="41" priority="42">
      <formula>IsWeekend(W10)</formula>
    </cfRule>
  </conditionalFormatting>
  <conditionalFormatting sqref="X10">
    <cfRule type="expression" dxfId="40" priority="41">
      <formula>IsWeekend(X10)</formula>
    </cfRule>
  </conditionalFormatting>
  <conditionalFormatting sqref="Y10">
    <cfRule type="expression" dxfId="39" priority="40">
      <formula>IsWeekend(Y10)</formula>
    </cfRule>
  </conditionalFormatting>
  <conditionalFormatting sqref="Z10">
    <cfRule type="expression" dxfId="38" priority="39">
      <formula>IsWeekend(Z10)</formula>
    </cfRule>
  </conditionalFormatting>
  <conditionalFormatting sqref="AA10">
    <cfRule type="expression" dxfId="37" priority="38">
      <formula>IsWeekend(AA10)</formula>
    </cfRule>
  </conditionalFormatting>
  <conditionalFormatting sqref="AB10">
    <cfRule type="expression" dxfId="36" priority="37">
      <formula>IsWeekend(AB10)</formula>
    </cfRule>
  </conditionalFormatting>
  <conditionalFormatting sqref="AC10">
    <cfRule type="expression" dxfId="35" priority="36">
      <formula>IsWeekend(AC10)</formula>
    </cfRule>
  </conditionalFormatting>
  <conditionalFormatting sqref="AD10">
    <cfRule type="expression" dxfId="34" priority="35">
      <formula>IsWeekend(AD10)</formula>
    </cfRule>
  </conditionalFormatting>
  <conditionalFormatting sqref="AE10">
    <cfRule type="expression" dxfId="33" priority="34">
      <formula>IsWeekend(AE10)</formula>
    </cfRule>
  </conditionalFormatting>
  <conditionalFormatting sqref="AF10">
    <cfRule type="expression" dxfId="32" priority="33">
      <formula>IsWeekend(AF10)</formula>
    </cfRule>
  </conditionalFormatting>
  <conditionalFormatting sqref="AG10">
    <cfRule type="expression" dxfId="31" priority="32">
      <formula>IsWeekend(AG10)</formula>
    </cfRule>
  </conditionalFormatting>
  <conditionalFormatting sqref="AH10">
    <cfRule type="expression" dxfId="30" priority="31">
      <formula>IsWeekend(AH10)</formula>
    </cfRule>
  </conditionalFormatting>
  <conditionalFormatting sqref="AI10">
    <cfRule type="expression" dxfId="29" priority="30">
      <formula>IsWeekend(AI10)</formula>
    </cfRule>
  </conditionalFormatting>
  <conditionalFormatting sqref="BD9:BE9">
    <cfRule type="expression" dxfId="28" priority="29">
      <formula>IsWeekend(E10)</formula>
    </cfRule>
  </conditionalFormatting>
  <conditionalFormatting sqref="BP9:BQ9">
    <cfRule type="expression" dxfId="27" priority="28">
      <formula>IsWeekend(K10)</formula>
    </cfRule>
  </conditionalFormatting>
  <conditionalFormatting sqref="BF9:BG9">
    <cfRule type="expression" dxfId="26" priority="27">
      <formula>IsWeekend(F10)</formula>
    </cfRule>
  </conditionalFormatting>
  <conditionalFormatting sqref="BH9:BI9">
    <cfRule type="expression" dxfId="25" priority="26">
      <formula>IsWeekend(G10)</formula>
    </cfRule>
  </conditionalFormatting>
  <conditionalFormatting sqref="BJ9:BK9">
    <cfRule type="expression" dxfId="24" priority="25">
      <formula>IsWeekend(H10)</formula>
    </cfRule>
  </conditionalFormatting>
  <conditionalFormatting sqref="BL9:BM9">
    <cfRule type="expression" dxfId="23" priority="24">
      <formula>IsWeekend(I10)</formula>
    </cfRule>
  </conditionalFormatting>
  <conditionalFormatting sqref="BN9:BO9">
    <cfRule type="expression" dxfId="22" priority="23">
      <formula>IsWeekend(J10)</formula>
    </cfRule>
  </conditionalFormatting>
  <conditionalFormatting sqref="BR9:BS9">
    <cfRule type="expression" dxfId="21" priority="22">
      <formula>IsWeekend(L10)</formula>
    </cfRule>
  </conditionalFormatting>
  <conditionalFormatting sqref="BT9:BU9">
    <cfRule type="expression" dxfId="20" priority="21">
      <formula>IsWeekend(M10)</formula>
    </cfRule>
  </conditionalFormatting>
  <conditionalFormatting sqref="BV9:BW9">
    <cfRule type="expression" dxfId="19" priority="20">
      <formula>IsWeekend(N10)</formula>
    </cfRule>
  </conditionalFormatting>
  <conditionalFormatting sqref="BX9:BY9">
    <cfRule type="expression" dxfId="18" priority="19">
      <formula>IsWeekend(O10)</formula>
    </cfRule>
  </conditionalFormatting>
  <conditionalFormatting sqref="BZ9:CA9">
    <cfRule type="expression" dxfId="17" priority="18">
      <formula>IsWeekend(P10)</formula>
    </cfRule>
  </conditionalFormatting>
  <conditionalFormatting sqref="CD9:CE9">
    <cfRule type="expression" dxfId="16" priority="17">
      <formula>IsWeekend(R10)</formula>
    </cfRule>
  </conditionalFormatting>
  <conditionalFormatting sqref="CF9:CG9">
    <cfRule type="expression" dxfId="15" priority="16">
      <formula>IsWeekend(S10)</formula>
    </cfRule>
  </conditionalFormatting>
  <conditionalFormatting sqref="CP9:CQ9">
    <cfRule type="expression" dxfId="14" priority="15">
      <formula>IsWeekend(T10)</formula>
    </cfRule>
  </conditionalFormatting>
  <conditionalFormatting sqref="CR9:CS9">
    <cfRule type="expression" dxfId="13" priority="14">
      <formula>IsWeekend(U10)</formula>
    </cfRule>
  </conditionalFormatting>
  <conditionalFormatting sqref="CT9:CU9">
    <cfRule type="expression" dxfId="12" priority="13">
      <formula>IsWeekend(V10)</formula>
    </cfRule>
  </conditionalFormatting>
  <conditionalFormatting sqref="CX9:CY9">
    <cfRule type="expression" dxfId="11" priority="12">
      <formula>IsWeekend(X10)</formula>
    </cfRule>
  </conditionalFormatting>
  <conditionalFormatting sqref="CZ9:DA9">
    <cfRule type="expression" dxfId="10" priority="11">
      <formula>IsWeekend(Y10)</formula>
    </cfRule>
  </conditionalFormatting>
  <conditionalFormatting sqref="DB9:DC9">
    <cfRule type="expression" dxfId="9" priority="10">
      <formula>IsWeekend(Z10)</formula>
    </cfRule>
  </conditionalFormatting>
  <conditionalFormatting sqref="DD9:DE9">
    <cfRule type="expression" dxfId="8" priority="9">
      <formula>IsWeekend(AA10)</formula>
    </cfRule>
  </conditionalFormatting>
  <conditionalFormatting sqref="DF9:DG9">
    <cfRule type="expression" dxfId="7" priority="8">
      <formula>IsWeekend(AB10)</formula>
    </cfRule>
  </conditionalFormatting>
  <conditionalFormatting sqref="DH9:DI9">
    <cfRule type="expression" dxfId="6" priority="7">
      <formula>IsWeekend(AC10)</formula>
    </cfRule>
  </conditionalFormatting>
  <conditionalFormatting sqref="DJ9:DK9">
    <cfRule type="expression" dxfId="5" priority="6">
      <formula>IsWeekend(AD10)</formula>
    </cfRule>
  </conditionalFormatting>
  <conditionalFormatting sqref="DL9:DM9">
    <cfRule type="expression" dxfId="4" priority="5">
      <formula>IsWeekend(AE10)</formula>
    </cfRule>
  </conditionalFormatting>
  <conditionalFormatting sqref="DN9:DO9">
    <cfRule type="expression" dxfId="3" priority="4">
      <formula>IsWeekend(AF10)</formula>
    </cfRule>
  </conditionalFormatting>
  <conditionalFormatting sqref="DP9:DQ9">
    <cfRule type="expression" dxfId="2" priority="3">
      <formula>IsWeekend(AG10)</formula>
    </cfRule>
  </conditionalFormatting>
  <conditionalFormatting sqref="DR9:DS9">
    <cfRule type="expression" dxfId="1" priority="2">
      <formula>IsWeekend(AH10)</formula>
    </cfRule>
  </conditionalFormatting>
  <conditionalFormatting sqref="DT9:DU9">
    <cfRule type="expression" dxfId="0" priority="1">
      <formula>IsWeekend(AI10)</formula>
    </cfRule>
  </conditionalFormatting>
  <dataValidations count="2">
    <dataValidation type="list" allowBlank="1" showInputMessage="1" showErrorMessage="1" sqref="D11:D32">
      <formula1>$AW$1:$AW$4</formula1>
    </dataValidation>
    <dataValidation type="list" allowBlank="1" showInputMessage="1" showErrorMessage="1" sqref="C11:C32">
      <formula1>$AV$1:$AV$15</formula1>
    </dataValidation>
  </dataValidations>
  <pageMargins left="0.7" right="0.7" top="0.75" bottom="0.75" header="0.3" footer="0.3"/>
  <pageSetup paperSize="9" scale="54" orientation="landscape" r:id="rId1"/>
  <ignoredErrors>
    <ignoredError sqref="AN11:AO11 AJ11:AK11 AJ13:AN13 AM14:AN14 AK14:AL14 AJ14 AO14 AO13 AL11:AM11" formulaRange="1"/>
    <ignoredError sqref="AG10:AI10" unlockedFormula="1"/>
  </ignoredError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Info</vt:lpstr>
      <vt:lpstr>Base table</vt:lpstr>
      <vt:lpstr>'Base table'!Print_Area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2023-09-24T11:25:36Z</dcterms:modified>
</cp:coreProperties>
</file>