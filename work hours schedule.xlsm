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Лікарі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0" i="1" l="1"/>
  <c r="AH10" i="1" s="1"/>
  <c r="AI10" i="1" s="1"/>
  <c r="DT32" i="1"/>
  <c r="DU32" i="1" s="1"/>
  <c r="DT31" i="1"/>
  <c r="DU31" i="1" s="1"/>
  <c r="DT30" i="1"/>
  <c r="DU30" i="1" s="1"/>
  <c r="DT29" i="1"/>
  <c r="DU29" i="1" s="1"/>
  <c r="DT28" i="1"/>
  <c r="DU28" i="1" s="1"/>
  <c r="DT27" i="1"/>
  <c r="DU27" i="1" s="1"/>
  <c r="DT26" i="1"/>
  <c r="DU26" i="1" s="1"/>
  <c r="DT25" i="1"/>
  <c r="DU25" i="1" s="1"/>
  <c r="DT24" i="1"/>
  <c r="DU24" i="1" s="1"/>
  <c r="DT23" i="1"/>
  <c r="DU23" i="1" s="1"/>
  <c r="DT22" i="1"/>
  <c r="DU22" i="1" s="1"/>
  <c r="DT21" i="1"/>
  <c r="DU21" i="1" s="1"/>
  <c r="DT20" i="1"/>
  <c r="DU20" i="1" s="1"/>
  <c r="DT19" i="1"/>
  <c r="DU19" i="1" s="1"/>
  <c r="DT18" i="1"/>
  <c r="DU18" i="1" s="1"/>
  <c r="DT17" i="1"/>
  <c r="DU17" i="1" s="1"/>
  <c r="DT16" i="1"/>
  <c r="DU16" i="1" s="1"/>
  <c r="DT15" i="1"/>
  <c r="DU15" i="1" s="1"/>
  <c r="DT13" i="1"/>
  <c r="DU13" i="1" s="1"/>
  <c r="DR32" i="1"/>
  <c r="DS32" i="1" s="1"/>
  <c r="DR31" i="1"/>
  <c r="DS31" i="1" s="1"/>
  <c r="DR30" i="1"/>
  <c r="DS30" i="1" s="1"/>
  <c r="DR29" i="1"/>
  <c r="DS29" i="1" s="1"/>
  <c r="DR28" i="1"/>
  <c r="DS28" i="1" s="1"/>
  <c r="DR27" i="1"/>
  <c r="DS27" i="1" s="1"/>
  <c r="DR26" i="1"/>
  <c r="DS26" i="1" s="1"/>
  <c r="DR25" i="1"/>
  <c r="DS25" i="1" s="1"/>
  <c r="DR24" i="1"/>
  <c r="DS24" i="1" s="1"/>
  <c r="DR23" i="1"/>
  <c r="DS23" i="1" s="1"/>
  <c r="DR22" i="1"/>
  <c r="DS22" i="1" s="1"/>
  <c r="DR21" i="1"/>
  <c r="DS21" i="1" s="1"/>
  <c r="DR20" i="1"/>
  <c r="DS20" i="1" s="1"/>
  <c r="DR19" i="1"/>
  <c r="DS19" i="1" s="1"/>
  <c r="DR18" i="1"/>
  <c r="DS18" i="1" s="1"/>
  <c r="DR17" i="1"/>
  <c r="DS17" i="1" s="1"/>
  <c r="DR16" i="1"/>
  <c r="DS16" i="1" s="1"/>
  <c r="DR15" i="1"/>
  <c r="DS15" i="1" s="1"/>
  <c r="DP32" i="1"/>
  <c r="DQ32" i="1" s="1"/>
  <c r="DP31" i="1"/>
  <c r="DQ31" i="1" s="1"/>
  <c r="DP30" i="1"/>
  <c r="DQ30" i="1" s="1"/>
  <c r="DP29" i="1"/>
  <c r="DQ29" i="1" s="1"/>
  <c r="DP28" i="1"/>
  <c r="DQ28" i="1" s="1"/>
  <c r="DP27" i="1"/>
  <c r="DQ27" i="1" s="1"/>
  <c r="DP26" i="1"/>
  <c r="DQ26" i="1" s="1"/>
  <c r="DP25" i="1"/>
  <c r="DQ25" i="1" s="1"/>
  <c r="DP24" i="1"/>
  <c r="DQ24" i="1" s="1"/>
  <c r="DP23" i="1"/>
  <c r="DQ23" i="1" s="1"/>
  <c r="DP22" i="1"/>
  <c r="DQ22" i="1" s="1"/>
  <c r="DP21" i="1"/>
  <c r="DQ21" i="1" s="1"/>
  <c r="DP20" i="1"/>
  <c r="DQ20" i="1" s="1"/>
  <c r="DP19" i="1"/>
  <c r="DQ19" i="1" s="1"/>
  <c r="DP18" i="1"/>
  <c r="DQ18" i="1" s="1"/>
  <c r="DP17" i="1"/>
  <c r="DQ17" i="1" s="1"/>
  <c r="DP16" i="1"/>
  <c r="DQ16" i="1" s="1"/>
  <c r="DP15" i="1"/>
  <c r="DQ15" i="1" s="1"/>
  <c r="DP14" i="1"/>
  <c r="DQ14" i="1" s="1"/>
  <c r="DP12" i="1"/>
  <c r="DQ12" i="1" s="1"/>
  <c r="DN32" i="1"/>
  <c r="DO32" i="1" s="1"/>
  <c r="DN31" i="1"/>
  <c r="DO31" i="1" s="1"/>
  <c r="DN30" i="1"/>
  <c r="DO30" i="1" s="1"/>
  <c r="DN29" i="1"/>
  <c r="DO29" i="1" s="1"/>
  <c r="DN28" i="1"/>
  <c r="DO28" i="1" s="1"/>
  <c r="DN27" i="1"/>
  <c r="DO27" i="1" s="1"/>
  <c r="DN26" i="1"/>
  <c r="DO26" i="1" s="1"/>
  <c r="DN25" i="1"/>
  <c r="DO25" i="1" s="1"/>
  <c r="DN24" i="1"/>
  <c r="DO24" i="1" s="1"/>
  <c r="DN23" i="1"/>
  <c r="DO23" i="1" s="1"/>
  <c r="DN22" i="1"/>
  <c r="DO22" i="1" s="1"/>
  <c r="DN21" i="1"/>
  <c r="DO21" i="1" s="1"/>
  <c r="DN20" i="1"/>
  <c r="DO20" i="1" s="1"/>
  <c r="DN19" i="1"/>
  <c r="DO19" i="1" s="1"/>
  <c r="DN18" i="1"/>
  <c r="DO18" i="1" s="1"/>
  <c r="DN17" i="1"/>
  <c r="DO17" i="1" s="1"/>
  <c r="DN16" i="1"/>
  <c r="DO16" i="1" s="1"/>
  <c r="DN15" i="1"/>
  <c r="DO15" i="1" s="1"/>
  <c r="DN13" i="1"/>
  <c r="DO13" i="1" s="1"/>
  <c r="DN12" i="1"/>
  <c r="DO12" i="1" s="1"/>
  <c r="DL32" i="1"/>
  <c r="DM32" i="1" s="1"/>
  <c r="DL31" i="1"/>
  <c r="DM31" i="1" s="1"/>
  <c r="DL30" i="1"/>
  <c r="DM30" i="1" s="1"/>
  <c r="DL29" i="1"/>
  <c r="DM29" i="1" s="1"/>
  <c r="DL28" i="1"/>
  <c r="DM28" i="1" s="1"/>
  <c r="DL27" i="1"/>
  <c r="DM27" i="1" s="1"/>
  <c r="DL26" i="1"/>
  <c r="DM26" i="1" s="1"/>
  <c r="DL25" i="1"/>
  <c r="DM25" i="1" s="1"/>
  <c r="DL24" i="1"/>
  <c r="DM24" i="1" s="1"/>
  <c r="DL23" i="1"/>
  <c r="DM23" i="1" s="1"/>
  <c r="DL22" i="1"/>
  <c r="DM22" i="1" s="1"/>
  <c r="DL21" i="1"/>
  <c r="DM21" i="1" s="1"/>
  <c r="DL20" i="1"/>
  <c r="DM20" i="1" s="1"/>
  <c r="DL19" i="1"/>
  <c r="DM19" i="1" s="1"/>
  <c r="DL18" i="1"/>
  <c r="DM18" i="1" s="1"/>
  <c r="DL17" i="1"/>
  <c r="DM17" i="1" s="1"/>
  <c r="DL16" i="1"/>
  <c r="DM16" i="1" s="1"/>
  <c r="DL15" i="1"/>
  <c r="DM15" i="1" s="1"/>
  <c r="DJ32" i="1"/>
  <c r="DK32" i="1" s="1"/>
  <c r="DJ31" i="1"/>
  <c r="DK31" i="1" s="1"/>
  <c r="DJ30" i="1"/>
  <c r="DK30" i="1" s="1"/>
  <c r="DJ29" i="1"/>
  <c r="DK29" i="1" s="1"/>
  <c r="DJ28" i="1"/>
  <c r="DK28" i="1" s="1"/>
  <c r="DJ27" i="1"/>
  <c r="DK27" i="1" s="1"/>
  <c r="DJ26" i="1"/>
  <c r="DK26" i="1" s="1"/>
  <c r="DJ25" i="1"/>
  <c r="DK25" i="1" s="1"/>
  <c r="DJ24" i="1"/>
  <c r="DK24" i="1" s="1"/>
  <c r="DJ23" i="1"/>
  <c r="DK23" i="1" s="1"/>
  <c r="DJ22" i="1"/>
  <c r="DK22" i="1" s="1"/>
  <c r="DJ21" i="1"/>
  <c r="DK21" i="1" s="1"/>
  <c r="DJ20" i="1"/>
  <c r="DK20" i="1" s="1"/>
  <c r="DJ19" i="1"/>
  <c r="DK19" i="1" s="1"/>
  <c r="DJ18" i="1"/>
  <c r="DK18" i="1" s="1"/>
  <c r="DJ17" i="1"/>
  <c r="DK17" i="1" s="1"/>
  <c r="DJ16" i="1"/>
  <c r="DK16" i="1" s="1"/>
  <c r="DJ15" i="1"/>
  <c r="DK15" i="1" s="1"/>
  <c r="DH32" i="1"/>
  <c r="DI32" i="1" s="1"/>
  <c r="DH31" i="1"/>
  <c r="DI31" i="1" s="1"/>
  <c r="DH30" i="1"/>
  <c r="DI30" i="1" s="1"/>
  <c r="DH29" i="1"/>
  <c r="DI29" i="1" s="1"/>
  <c r="DH28" i="1"/>
  <c r="DI28" i="1" s="1"/>
  <c r="DH27" i="1"/>
  <c r="DI27" i="1" s="1"/>
  <c r="DH26" i="1"/>
  <c r="DI26" i="1" s="1"/>
  <c r="DH25" i="1"/>
  <c r="DI25" i="1" s="1"/>
  <c r="DH24" i="1"/>
  <c r="DI24" i="1" s="1"/>
  <c r="DH23" i="1"/>
  <c r="DI23" i="1" s="1"/>
  <c r="DH22" i="1"/>
  <c r="DI22" i="1" s="1"/>
  <c r="DH21" i="1"/>
  <c r="DI21" i="1" s="1"/>
  <c r="DH20" i="1"/>
  <c r="DI20" i="1" s="1"/>
  <c r="DH19" i="1"/>
  <c r="DI19" i="1" s="1"/>
  <c r="DH18" i="1"/>
  <c r="DI18" i="1" s="1"/>
  <c r="DH17" i="1"/>
  <c r="DI17" i="1" s="1"/>
  <c r="DH16" i="1"/>
  <c r="DI16" i="1" s="1"/>
  <c r="DH15" i="1"/>
  <c r="DI15" i="1" s="1"/>
  <c r="DH13" i="1"/>
  <c r="DI13" i="1" s="1"/>
  <c r="DF32" i="1"/>
  <c r="DG32" i="1" s="1"/>
  <c r="DF31" i="1"/>
  <c r="DG31" i="1" s="1"/>
  <c r="DF30" i="1"/>
  <c r="DG30" i="1" s="1"/>
  <c r="DF29" i="1"/>
  <c r="DG29" i="1" s="1"/>
  <c r="DF28" i="1"/>
  <c r="DG28" i="1" s="1"/>
  <c r="DF27" i="1"/>
  <c r="DG27" i="1" s="1"/>
  <c r="DF26" i="1"/>
  <c r="DG26" i="1" s="1"/>
  <c r="DF25" i="1"/>
  <c r="DG25" i="1" s="1"/>
  <c r="DF24" i="1"/>
  <c r="DG24" i="1" s="1"/>
  <c r="DF23" i="1"/>
  <c r="DG23" i="1" s="1"/>
  <c r="DF22" i="1"/>
  <c r="DG22" i="1" s="1"/>
  <c r="DF21" i="1"/>
  <c r="DG21" i="1" s="1"/>
  <c r="DF20" i="1"/>
  <c r="DG20" i="1" s="1"/>
  <c r="DF19" i="1"/>
  <c r="DG19" i="1" s="1"/>
  <c r="DF18" i="1"/>
  <c r="DG18" i="1" s="1"/>
  <c r="DF17" i="1"/>
  <c r="DG17" i="1" s="1"/>
  <c r="DF16" i="1"/>
  <c r="DG16" i="1" s="1"/>
  <c r="DF15" i="1"/>
  <c r="DG15" i="1" s="1"/>
  <c r="DF14" i="1"/>
  <c r="DG14" i="1" s="1"/>
  <c r="DD32" i="1"/>
  <c r="DE32" i="1" s="1"/>
  <c r="DD31" i="1"/>
  <c r="DE31" i="1" s="1"/>
  <c r="DD30" i="1"/>
  <c r="DE30" i="1" s="1"/>
  <c r="DD29" i="1"/>
  <c r="DE29" i="1" s="1"/>
  <c r="DD28" i="1"/>
  <c r="DE28" i="1" s="1"/>
  <c r="DD27" i="1"/>
  <c r="DE27" i="1" s="1"/>
  <c r="DD26" i="1"/>
  <c r="DE26" i="1" s="1"/>
  <c r="DD25" i="1"/>
  <c r="DE25" i="1" s="1"/>
  <c r="DD24" i="1"/>
  <c r="DE24" i="1" s="1"/>
  <c r="DD23" i="1"/>
  <c r="DE23" i="1" s="1"/>
  <c r="DD22" i="1"/>
  <c r="DE22" i="1" s="1"/>
  <c r="DD21" i="1"/>
  <c r="DE21" i="1" s="1"/>
  <c r="DD20" i="1"/>
  <c r="DE20" i="1" s="1"/>
  <c r="DD19" i="1"/>
  <c r="DE19" i="1" s="1"/>
  <c r="DD18" i="1"/>
  <c r="DE18" i="1" s="1"/>
  <c r="DD17" i="1"/>
  <c r="DE17" i="1" s="1"/>
  <c r="DD16" i="1"/>
  <c r="DE16" i="1" s="1"/>
  <c r="DD15" i="1"/>
  <c r="DE15" i="1" s="1"/>
  <c r="DD14" i="1"/>
  <c r="DE14" i="1" s="1"/>
  <c r="DB32" i="1"/>
  <c r="DC32" i="1" s="1"/>
  <c r="DB31" i="1"/>
  <c r="DC31" i="1" s="1"/>
  <c r="DB30" i="1"/>
  <c r="DC30" i="1" s="1"/>
  <c r="DB29" i="1"/>
  <c r="DC29" i="1" s="1"/>
  <c r="DB28" i="1"/>
  <c r="DC28" i="1" s="1"/>
  <c r="DB27" i="1"/>
  <c r="DC27" i="1" s="1"/>
  <c r="DB26" i="1"/>
  <c r="DC26" i="1" s="1"/>
  <c r="DB25" i="1"/>
  <c r="DC25" i="1" s="1"/>
  <c r="DB24" i="1"/>
  <c r="DC24" i="1" s="1"/>
  <c r="DB23" i="1"/>
  <c r="DC23" i="1" s="1"/>
  <c r="DB22" i="1"/>
  <c r="DC22" i="1" s="1"/>
  <c r="DB21" i="1"/>
  <c r="DC21" i="1" s="1"/>
  <c r="DB20" i="1"/>
  <c r="DC20" i="1" s="1"/>
  <c r="DB19" i="1"/>
  <c r="DC19" i="1" s="1"/>
  <c r="DB18" i="1"/>
  <c r="DC18" i="1" s="1"/>
  <c r="DB17" i="1"/>
  <c r="DC17" i="1" s="1"/>
  <c r="DB16" i="1"/>
  <c r="DC16" i="1" s="1"/>
  <c r="DB15" i="1"/>
  <c r="DC15" i="1" s="1"/>
  <c r="DB13" i="1"/>
  <c r="DC13" i="1" s="1"/>
  <c r="DB12" i="1"/>
  <c r="DC12" i="1" s="1"/>
  <c r="CZ32" i="1"/>
  <c r="DA32" i="1" s="1"/>
  <c r="CZ31" i="1"/>
  <c r="DA31" i="1" s="1"/>
  <c r="CZ30" i="1"/>
  <c r="DA30" i="1" s="1"/>
  <c r="CZ29" i="1"/>
  <c r="DA29" i="1" s="1"/>
  <c r="CZ28" i="1"/>
  <c r="DA28" i="1" s="1"/>
  <c r="CZ27" i="1"/>
  <c r="DA27" i="1" s="1"/>
  <c r="CZ26" i="1"/>
  <c r="DA26" i="1" s="1"/>
  <c r="CZ25" i="1"/>
  <c r="DA25" i="1" s="1"/>
  <c r="CZ24" i="1"/>
  <c r="DA24" i="1" s="1"/>
  <c r="CZ23" i="1"/>
  <c r="DA23" i="1" s="1"/>
  <c r="CZ22" i="1"/>
  <c r="DA22" i="1" s="1"/>
  <c r="CZ21" i="1"/>
  <c r="DA21" i="1" s="1"/>
  <c r="CZ20" i="1"/>
  <c r="DA20" i="1" s="1"/>
  <c r="CZ19" i="1"/>
  <c r="DA19" i="1" s="1"/>
  <c r="CZ18" i="1"/>
  <c r="DA18" i="1" s="1"/>
  <c r="CZ17" i="1"/>
  <c r="DA17" i="1" s="1"/>
  <c r="CZ16" i="1"/>
  <c r="DA16" i="1" s="1"/>
  <c r="CZ15" i="1"/>
  <c r="DA15" i="1" s="1"/>
  <c r="CZ13" i="1"/>
  <c r="DA13" i="1" s="1"/>
  <c r="CZ12" i="1"/>
  <c r="DA12" i="1" s="1"/>
  <c r="CX32" i="1"/>
  <c r="CY32" i="1" s="1"/>
  <c r="CX31" i="1"/>
  <c r="CY31" i="1" s="1"/>
  <c r="CX30" i="1"/>
  <c r="CY30" i="1" s="1"/>
  <c r="CX29" i="1"/>
  <c r="CY29" i="1" s="1"/>
  <c r="CX28" i="1"/>
  <c r="CY28" i="1" s="1"/>
  <c r="CX27" i="1"/>
  <c r="CY27" i="1" s="1"/>
  <c r="CX26" i="1"/>
  <c r="CY26" i="1" s="1"/>
  <c r="CX25" i="1"/>
  <c r="CY25" i="1" s="1"/>
  <c r="CX24" i="1"/>
  <c r="CY24" i="1" s="1"/>
  <c r="CX23" i="1"/>
  <c r="CY23" i="1" s="1"/>
  <c r="CX22" i="1"/>
  <c r="CY22" i="1" s="1"/>
  <c r="CX21" i="1"/>
  <c r="CY21" i="1" s="1"/>
  <c r="CX20" i="1"/>
  <c r="CY20" i="1" s="1"/>
  <c r="CX19" i="1"/>
  <c r="CY19" i="1" s="1"/>
  <c r="CX18" i="1"/>
  <c r="CY18" i="1" s="1"/>
  <c r="CX17" i="1"/>
  <c r="CY17" i="1" s="1"/>
  <c r="CX16" i="1"/>
  <c r="CY16" i="1" s="1"/>
  <c r="CX15" i="1"/>
  <c r="CY15" i="1" s="1"/>
  <c r="CX14" i="1"/>
  <c r="CY14" i="1" s="1"/>
  <c r="CV32" i="1"/>
  <c r="CW32" i="1" s="1"/>
  <c r="CV31" i="1"/>
  <c r="CW31" i="1" s="1"/>
  <c r="CV30" i="1"/>
  <c r="CW30" i="1" s="1"/>
  <c r="CV29" i="1"/>
  <c r="CW29" i="1" s="1"/>
  <c r="CV28" i="1"/>
  <c r="CW28" i="1" s="1"/>
  <c r="CV27" i="1"/>
  <c r="CW27" i="1" s="1"/>
  <c r="CV26" i="1"/>
  <c r="CW26" i="1" s="1"/>
  <c r="CV25" i="1"/>
  <c r="CW25" i="1" s="1"/>
  <c r="CV24" i="1"/>
  <c r="CW24" i="1" s="1"/>
  <c r="CV23" i="1"/>
  <c r="CW23" i="1" s="1"/>
  <c r="CV22" i="1"/>
  <c r="CW22" i="1" s="1"/>
  <c r="CV21" i="1"/>
  <c r="CW21" i="1" s="1"/>
  <c r="CV20" i="1"/>
  <c r="CW20" i="1" s="1"/>
  <c r="CV19" i="1"/>
  <c r="CW19" i="1" s="1"/>
  <c r="CV18" i="1"/>
  <c r="CW18" i="1" s="1"/>
  <c r="CV17" i="1"/>
  <c r="CW17" i="1" s="1"/>
  <c r="CV16" i="1"/>
  <c r="CW16" i="1" s="1"/>
  <c r="CV15" i="1"/>
  <c r="CW15" i="1" s="1"/>
  <c r="CV14" i="1"/>
  <c r="CW14" i="1" s="1"/>
  <c r="CT32" i="1"/>
  <c r="CU32" i="1" s="1"/>
  <c r="CT31" i="1"/>
  <c r="CU31" i="1" s="1"/>
  <c r="CT30" i="1"/>
  <c r="CU30" i="1" s="1"/>
  <c r="CT29" i="1"/>
  <c r="CU29" i="1" s="1"/>
  <c r="CT28" i="1"/>
  <c r="CU28" i="1" s="1"/>
  <c r="CT27" i="1"/>
  <c r="CU27" i="1" s="1"/>
  <c r="CT26" i="1"/>
  <c r="CU26" i="1" s="1"/>
  <c r="CT25" i="1"/>
  <c r="CU25" i="1" s="1"/>
  <c r="CT24" i="1"/>
  <c r="CU24" i="1" s="1"/>
  <c r="CT23" i="1"/>
  <c r="CU23" i="1" s="1"/>
  <c r="CT22" i="1"/>
  <c r="CU22" i="1" s="1"/>
  <c r="CT21" i="1"/>
  <c r="CU21" i="1" s="1"/>
  <c r="CT20" i="1"/>
  <c r="CU20" i="1" s="1"/>
  <c r="CT19" i="1"/>
  <c r="CU19" i="1" s="1"/>
  <c r="CT18" i="1"/>
  <c r="CU18" i="1" s="1"/>
  <c r="CT17" i="1"/>
  <c r="CU17" i="1" s="1"/>
  <c r="CT16" i="1"/>
  <c r="CU16" i="1" s="1"/>
  <c r="CT15" i="1"/>
  <c r="CU15" i="1" s="1"/>
  <c r="CT13" i="1"/>
  <c r="CU13" i="1" s="1"/>
  <c r="CR32" i="1"/>
  <c r="CS32" i="1" s="1"/>
  <c r="CR31" i="1"/>
  <c r="CS31" i="1" s="1"/>
  <c r="CR30" i="1"/>
  <c r="CS30" i="1" s="1"/>
  <c r="CR29" i="1"/>
  <c r="CS29" i="1" s="1"/>
  <c r="CR28" i="1"/>
  <c r="CS28" i="1" s="1"/>
  <c r="CR27" i="1"/>
  <c r="CS27" i="1" s="1"/>
  <c r="CR26" i="1"/>
  <c r="CS26" i="1" s="1"/>
  <c r="CR25" i="1"/>
  <c r="CS25" i="1" s="1"/>
  <c r="CR24" i="1"/>
  <c r="CS24" i="1" s="1"/>
  <c r="CR23" i="1"/>
  <c r="CS23" i="1" s="1"/>
  <c r="CR22" i="1"/>
  <c r="CS22" i="1" s="1"/>
  <c r="CR21" i="1"/>
  <c r="CS21" i="1" s="1"/>
  <c r="CR20" i="1"/>
  <c r="CS20" i="1" s="1"/>
  <c r="CR19" i="1"/>
  <c r="CS19" i="1" s="1"/>
  <c r="CR18" i="1"/>
  <c r="CS18" i="1" s="1"/>
  <c r="CR17" i="1"/>
  <c r="CS17" i="1" s="1"/>
  <c r="CR16" i="1"/>
  <c r="CS16" i="1" s="1"/>
  <c r="CR15" i="1"/>
  <c r="CS15" i="1" s="1"/>
  <c r="CP32" i="1"/>
  <c r="CQ32" i="1" s="1"/>
  <c r="CP31" i="1"/>
  <c r="CQ31" i="1" s="1"/>
  <c r="CP30" i="1"/>
  <c r="CQ30" i="1" s="1"/>
  <c r="CP29" i="1"/>
  <c r="CQ29" i="1" s="1"/>
  <c r="CP28" i="1"/>
  <c r="CQ28" i="1" s="1"/>
  <c r="CP27" i="1"/>
  <c r="CQ27" i="1" s="1"/>
  <c r="CP26" i="1"/>
  <c r="CQ26" i="1" s="1"/>
  <c r="CP25" i="1"/>
  <c r="CQ25" i="1" s="1"/>
  <c r="CP24" i="1"/>
  <c r="CQ24" i="1" s="1"/>
  <c r="CP23" i="1"/>
  <c r="CQ23" i="1" s="1"/>
  <c r="CP22" i="1"/>
  <c r="CQ22" i="1" s="1"/>
  <c r="CP21" i="1"/>
  <c r="CQ21" i="1" s="1"/>
  <c r="CP20" i="1"/>
  <c r="CQ20" i="1" s="1"/>
  <c r="CP19" i="1"/>
  <c r="CQ19" i="1" s="1"/>
  <c r="CP18" i="1"/>
  <c r="CQ18" i="1" s="1"/>
  <c r="CP17" i="1"/>
  <c r="CQ17" i="1" s="1"/>
  <c r="CP16" i="1"/>
  <c r="CQ16" i="1" s="1"/>
  <c r="CP15" i="1"/>
  <c r="CQ15" i="1" s="1"/>
  <c r="CP14" i="1"/>
  <c r="CQ14" i="1" s="1"/>
  <c r="AM19" i="1"/>
  <c r="DL14" i="1"/>
  <c r="DN14" i="1"/>
  <c r="DP13" i="1"/>
  <c r="DR13" i="1"/>
  <c r="DB11" i="1"/>
  <c r="CZ11" i="1"/>
  <c r="DP11" i="1"/>
  <c r="DN11" i="1"/>
  <c r="DT14" i="1"/>
  <c r="DR14" i="1"/>
  <c r="DT12" i="1"/>
  <c r="DR12" i="1"/>
  <c r="DL12" i="1"/>
  <c r="DL13" i="1"/>
  <c r="DJ12" i="1"/>
  <c r="DJ14" i="1"/>
  <c r="DJ13" i="1"/>
  <c r="DH12" i="1"/>
  <c r="DH14" i="1"/>
  <c r="DF13" i="1"/>
  <c r="DF12" i="1"/>
  <c r="DD13" i="1"/>
  <c r="DD12" i="1"/>
  <c r="DB14" i="1"/>
  <c r="CZ14" i="1"/>
  <c r="CX12" i="1"/>
  <c r="CX13" i="1"/>
  <c r="CV12" i="1"/>
  <c r="CV13" i="1"/>
  <c r="CT12" i="1"/>
  <c r="CT14" i="1"/>
  <c r="CR12" i="1"/>
  <c r="CR14" i="1"/>
  <c r="CR13" i="1"/>
  <c r="CP12" i="1"/>
  <c r="CP13" i="1"/>
  <c r="DT11" i="1"/>
  <c r="DR11" i="1"/>
  <c r="DL11" i="1"/>
  <c r="DJ11" i="1"/>
  <c r="DH11" i="1"/>
  <c r="DF11" i="1"/>
  <c r="DD11" i="1"/>
  <c r="CX11" i="1"/>
  <c r="CV11" i="1"/>
  <c r="CT11" i="1"/>
  <c r="CR11" i="1"/>
  <c r="CP11" i="1"/>
  <c r="DO14" i="1" l="1"/>
  <c r="DM14" i="1"/>
  <c r="DS13" i="1"/>
  <c r="DQ13" i="1"/>
  <c r="CQ11" i="1"/>
  <c r="CS11" i="1"/>
  <c r="CU11" i="1"/>
  <c r="CW11" i="1"/>
  <c r="CY11" i="1"/>
  <c r="DE11" i="1"/>
  <c r="DG11" i="1"/>
  <c r="DI11" i="1"/>
  <c r="DK11" i="1"/>
  <c r="DM11" i="1"/>
  <c r="DS11" i="1"/>
  <c r="DU11" i="1"/>
  <c r="CQ13" i="1"/>
  <c r="CQ12" i="1"/>
  <c r="CS13" i="1"/>
  <c r="CS14" i="1"/>
  <c r="CS12" i="1"/>
  <c r="CU14" i="1"/>
  <c r="CU12" i="1"/>
  <c r="CW13" i="1"/>
  <c r="CW12" i="1"/>
  <c r="CY13" i="1"/>
  <c r="CY12" i="1"/>
  <c r="DA14" i="1"/>
  <c r="DC14" i="1"/>
  <c r="DE12" i="1"/>
  <c r="DE13" i="1"/>
  <c r="DG12" i="1"/>
  <c r="DG13" i="1"/>
  <c r="DI14" i="1"/>
  <c r="DI12" i="1"/>
  <c r="DK13" i="1"/>
  <c r="DK14" i="1"/>
  <c r="DK12" i="1"/>
  <c r="DM13" i="1"/>
  <c r="DM12" i="1"/>
  <c r="DS12" i="1"/>
  <c r="DU12" i="1"/>
  <c r="DA11" i="1"/>
  <c r="DC11" i="1"/>
  <c r="DO11" i="1"/>
  <c r="DQ11" i="1"/>
  <c r="DU14" i="1"/>
  <c r="DS14" i="1"/>
  <c r="CN32" i="1"/>
  <c r="CN31" i="1"/>
  <c r="CN30" i="1"/>
  <c r="CN29" i="1"/>
  <c r="CN28" i="1"/>
  <c r="CN27" i="1"/>
  <c r="CN26" i="1"/>
  <c r="CN25" i="1"/>
  <c r="CN24" i="1"/>
  <c r="CN23" i="1"/>
  <c r="CN22" i="1"/>
  <c r="CN21" i="1"/>
  <c r="CN20" i="1"/>
  <c r="CN19" i="1"/>
  <c r="CN18" i="1"/>
  <c r="CN17" i="1"/>
  <c r="CN16" i="1"/>
  <c r="CN15" i="1"/>
  <c r="CN14" i="1"/>
  <c r="CN11" i="1"/>
  <c r="CN12" i="1"/>
  <c r="CN13" i="1"/>
  <c r="BB12" i="1" l="1"/>
  <c r="CO32" i="1"/>
  <c r="CO31" i="1"/>
  <c r="CO30" i="1"/>
  <c r="CO29" i="1"/>
  <c r="CO28" i="1"/>
  <c r="CO27" i="1"/>
  <c r="CO26" i="1"/>
  <c r="CO25" i="1"/>
  <c r="CO24" i="1"/>
  <c r="CO23" i="1"/>
  <c r="CO22" i="1"/>
  <c r="CO21" i="1"/>
  <c r="CO20" i="1"/>
  <c r="CO19" i="1"/>
  <c r="CO18" i="1"/>
  <c r="CO17" i="1"/>
  <c r="CO16" i="1"/>
  <c r="CO15" i="1"/>
  <c r="CO14" i="1"/>
  <c r="CO13" i="1"/>
  <c r="CO12" i="1"/>
  <c r="CO11" i="1"/>
  <c r="CM32" i="1"/>
  <c r="CM31" i="1"/>
  <c r="CM30" i="1"/>
  <c r="CM29" i="1"/>
  <c r="CM28" i="1"/>
  <c r="CM27" i="1"/>
  <c r="CM26" i="1"/>
  <c r="CM25" i="1"/>
  <c r="CM24" i="1"/>
  <c r="CM23" i="1"/>
  <c r="CM22" i="1"/>
  <c r="CM21" i="1"/>
  <c r="CM20" i="1"/>
  <c r="CM19" i="1"/>
  <c r="CM18" i="1"/>
  <c r="CM17" i="1"/>
  <c r="CM16" i="1"/>
  <c r="CM15" i="1"/>
  <c r="CM14" i="1"/>
  <c r="CM13" i="1"/>
  <c r="CM12" i="1"/>
  <c r="CM11" i="1"/>
  <c r="BB11" i="1"/>
  <c r="BC11" i="1"/>
  <c r="CF32" i="1" l="1"/>
  <c r="CG32" i="1" s="1"/>
  <c r="CD32" i="1"/>
  <c r="CE32" i="1" s="1"/>
  <c r="CB32" i="1"/>
  <c r="CC32" i="1" s="1"/>
  <c r="BZ32" i="1"/>
  <c r="CA32" i="1" s="1"/>
  <c r="BX32" i="1"/>
  <c r="BY32" i="1" s="1"/>
  <c r="BV32" i="1"/>
  <c r="BW32" i="1" s="1"/>
  <c r="BT32" i="1"/>
  <c r="BU32" i="1" s="1"/>
  <c r="BR32" i="1"/>
  <c r="BS32" i="1" s="1"/>
  <c r="BP32" i="1"/>
  <c r="BQ32" i="1" s="1"/>
  <c r="BN32" i="1"/>
  <c r="BO32" i="1" s="1"/>
  <c r="BL32" i="1"/>
  <c r="BM32" i="1" s="1"/>
  <c r="BJ32" i="1"/>
  <c r="BK32" i="1" s="1"/>
  <c r="BH32" i="1"/>
  <c r="BI32" i="1" s="1"/>
  <c r="BF32" i="1"/>
  <c r="BG32" i="1" s="1"/>
  <c r="BD32" i="1"/>
  <c r="BE32" i="1" s="1"/>
  <c r="CF31" i="1"/>
  <c r="CG31" i="1" s="1"/>
  <c r="CD31" i="1"/>
  <c r="CE31" i="1" s="1"/>
  <c r="CB31" i="1"/>
  <c r="CC31" i="1" s="1"/>
  <c r="BZ31" i="1"/>
  <c r="CA31" i="1" s="1"/>
  <c r="BX31" i="1"/>
  <c r="BY31" i="1" s="1"/>
  <c r="BV31" i="1"/>
  <c r="BW31" i="1" s="1"/>
  <c r="BT31" i="1"/>
  <c r="BU31" i="1" s="1"/>
  <c r="BR31" i="1"/>
  <c r="BS31" i="1" s="1"/>
  <c r="BP31" i="1"/>
  <c r="BQ31" i="1" s="1"/>
  <c r="BN31" i="1"/>
  <c r="BO31" i="1" s="1"/>
  <c r="BL31" i="1"/>
  <c r="BM31" i="1" s="1"/>
  <c r="BJ31" i="1"/>
  <c r="BK31" i="1" s="1"/>
  <c r="BH31" i="1"/>
  <c r="BI31" i="1" s="1"/>
  <c r="BF31" i="1"/>
  <c r="BG31" i="1" s="1"/>
  <c r="BD31" i="1"/>
  <c r="BE31" i="1" s="1"/>
  <c r="CF30" i="1"/>
  <c r="CG30" i="1" s="1"/>
  <c r="CD30" i="1"/>
  <c r="CE30" i="1" s="1"/>
  <c r="CB30" i="1"/>
  <c r="CC30" i="1" s="1"/>
  <c r="BZ30" i="1"/>
  <c r="CA30" i="1" s="1"/>
  <c r="BX30" i="1"/>
  <c r="BY30" i="1" s="1"/>
  <c r="BV30" i="1"/>
  <c r="BW30" i="1" s="1"/>
  <c r="BT30" i="1"/>
  <c r="BU30" i="1" s="1"/>
  <c r="BR30" i="1"/>
  <c r="BS30" i="1" s="1"/>
  <c r="BP30" i="1"/>
  <c r="BQ30" i="1" s="1"/>
  <c r="BN30" i="1"/>
  <c r="BO30" i="1" s="1"/>
  <c r="BL30" i="1"/>
  <c r="BM30" i="1" s="1"/>
  <c r="BJ30" i="1"/>
  <c r="BK30" i="1" s="1"/>
  <c r="BH30" i="1"/>
  <c r="BI30" i="1" s="1"/>
  <c r="BF30" i="1"/>
  <c r="BG30" i="1" s="1"/>
  <c r="BD30" i="1"/>
  <c r="BE30" i="1" s="1"/>
  <c r="CF29" i="1"/>
  <c r="CG29" i="1" s="1"/>
  <c r="CD29" i="1"/>
  <c r="CE29" i="1" s="1"/>
  <c r="CB29" i="1"/>
  <c r="CC29" i="1" s="1"/>
  <c r="BZ29" i="1"/>
  <c r="CA29" i="1" s="1"/>
  <c r="BX29" i="1"/>
  <c r="BY29" i="1" s="1"/>
  <c r="BV29" i="1"/>
  <c r="BW29" i="1" s="1"/>
  <c r="BT29" i="1"/>
  <c r="BU29" i="1" s="1"/>
  <c r="BR29" i="1"/>
  <c r="BS29" i="1" s="1"/>
  <c r="BP29" i="1"/>
  <c r="BQ29" i="1" s="1"/>
  <c r="BN29" i="1"/>
  <c r="BO29" i="1" s="1"/>
  <c r="BL29" i="1"/>
  <c r="BM29" i="1" s="1"/>
  <c r="BJ29" i="1"/>
  <c r="BK29" i="1" s="1"/>
  <c r="BH29" i="1"/>
  <c r="BI29" i="1" s="1"/>
  <c r="BF29" i="1"/>
  <c r="BG29" i="1" s="1"/>
  <c r="BD29" i="1"/>
  <c r="BE29" i="1" s="1"/>
  <c r="CF28" i="1"/>
  <c r="CG28" i="1" s="1"/>
  <c r="CD28" i="1"/>
  <c r="CE28" i="1" s="1"/>
  <c r="CB28" i="1"/>
  <c r="CC28" i="1" s="1"/>
  <c r="BZ28" i="1"/>
  <c r="CA28" i="1" s="1"/>
  <c r="BX28" i="1"/>
  <c r="BY28" i="1" s="1"/>
  <c r="BV28" i="1"/>
  <c r="BW28" i="1" s="1"/>
  <c r="BT28" i="1"/>
  <c r="BU28" i="1" s="1"/>
  <c r="BR28" i="1"/>
  <c r="BS28" i="1" s="1"/>
  <c r="BP28" i="1"/>
  <c r="BQ28" i="1" s="1"/>
  <c r="BN28" i="1"/>
  <c r="BO28" i="1" s="1"/>
  <c r="BL28" i="1"/>
  <c r="BM28" i="1" s="1"/>
  <c r="BJ28" i="1"/>
  <c r="BK28" i="1" s="1"/>
  <c r="BH28" i="1"/>
  <c r="BI28" i="1" s="1"/>
  <c r="BF28" i="1"/>
  <c r="BG28" i="1" s="1"/>
  <c r="BD28" i="1"/>
  <c r="BE28" i="1" s="1"/>
  <c r="CF27" i="1"/>
  <c r="CG27" i="1" s="1"/>
  <c r="CD27" i="1"/>
  <c r="CE27" i="1" s="1"/>
  <c r="CB27" i="1"/>
  <c r="CC27" i="1" s="1"/>
  <c r="BZ27" i="1"/>
  <c r="CA27" i="1" s="1"/>
  <c r="BX27" i="1"/>
  <c r="BY27" i="1" s="1"/>
  <c r="BV27" i="1"/>
  <c r="BW27" i="1" s="1"/>
  <c r="BT27" i="1"/>
  <c r="BU27" i="1" s="1"/>
  <c r="BR27" i="1"/>
  <c r="BS27" i="1" s="1"/>
  <c r="BP27" i="1"/>
  <c r="BQ27" i="1" s="1"/>
  <c r="BN27" i="1"/>
  <c r="BO27" i="1" s="1"/>
  <c r="BL27" i="1"/>
  <c r="BM27" i="1" s="1"/>
  <c r="BJ27" i="1"/>
  <c r="BK27" i="1" s="1"/>
  <c r="BH27" i="1"/>
  <c r="BI27" i="1" s="1"/>
  <c r="BF27" i="1"/>
  <c r="BG27" i="1" s="1"/>
  <c r="BD27" i="1"/>
  <c r="BE27" i="1" s="1"/>
  <c r="CF26" i="1"/>
  <c r="CG26" i="1" s="1"/>
  <c r="CD26" i="1"/>
  <c r="CE26" i="1" s="1"/>
  <c r="CB26" i="1"/>
  <c r="CC26" i="1" s="1"/>
  <c r="BZ26" i="1"/>
  <c r="CA26" i="1" s="1"/>
  <c r="BX26" i="1"/>
  <c r="BY26" i="1" s="1"/>
  <c r="BV26" i="1"/>
  <c r="BW26" i="1" s="1"/>
  <c r="BT26" i="1"/>
  <c r="BU26" i="1" s="1"/>
  <c r="BR26" i="1"/>
  <c r="BS26" i="1" s="1"/>
  <c r="BP26" i="1"/>
  <c r="BQ26" i="1" s="1"/>
  <c r="BN26" i="1"/>
  <c r="BO26" i="1" s="1"/>
  <c r="BL26" i="1"/>
  <c r="BM26" i="1" s="1"/>
  <c r="BJ26" i="1"/>
  <c r="BK26" i="1" s="1"/>
  <c r="BH26" i="1"/>
  <c r="BI26" i="1" s="1"/>
  <c r="BF26" i="1"/>
  <c r="BG26" i="1" s="1"/>
  <c r="BD26" i="1"/>
  <c r="BE26" i="1" s="1"/>
  <c r="CF25" i="1"/>
  <c r="CG25" i="1" s="1"/>
  <c r="CD25" i="1"/>
  <c r="CE25" i="1" s="1"/>
  <c r="CB25" i="1"/>
  <c r="CC25" i="1" s="1"/>
  <c r="BZ25" i="1"/>
  <c r="CA25" i="1" s="1"/>
  <c r="BX25" i="1"/>
  <c r="BY25" i="1" s="1"/>
  <c r="BV25" i="1"/>
  <c r="BW25" i="1" s="1"/>
  <c r="BT25" i="1"/>
  <c r="BU25" i="1" s="1"/>
  <c r="BR25" i="1"/>
  <c r="BS25" i="1" s="1"/>
  <c r="BP25" i="1"/>
  <c r="BQ25" i="1" s="1"/>
  <c r="BN25" i="1"/>
  <c r="BO25" i="1" s="1"/>
  <c r="BL25" i="1"/>
  <c r="BM25" i="1" s="1"/>
  <c r="BJ25" i="1"/>
  <c r="BK25" i="1" s="1"/>
  <c r="BH25" i="1"/>
  <c r="BI25" i="1" s="1"/>
  <c r="BF25" i="1"/>
  <c r="BG25" i="1" s="1"/>
  <c r="BD25" i="1"/>
  <c r="BE25" i="1" s="1"/>
  <c r="CF24" i="1"/>
  <c r="CG24" i="1" s="1"/>
  <c r="CD24" i="1"/>
  <c r="CE24" i="1" s="1"/>
  <c r="CB24" i="1"/>
  <c r="CC24" i="1" s="1"/>
  <c r="BZ24" i="1"/>
  <c r="CA24" i="1" s="1"/>
  <c r="BX24" i="1"/>
  <c r="BY24" i="1" s="1"/>
  <c r="BV24" i="1"/>
  <c r="BW24" i="1" s="1"/>
  <c r="BT24" i="1"/>
  <c r="BU24" i="1" s="1"/>
  <c r="BR24" i="1"/>
  <c r="BS24" i="1" s="1"/>
  <c r="BP24" i="1"/>
  <c r="BQ24" i="1" s="1"/>
  <c r="BN24" i="1"/>
  <c r="BO24" i="1" s="1"/>
  <c r="BL24" i="1"/>
  <c r="BM24" i="1" s="1"/>
  <c r="BJ24" i="1"/>
  <c r="BK24" i="1" s="1"/>
  <c r="BH24" i="1"/>
  <c r="BI24" i="1" s="1"/>
  <c r="BF24" i="1"/>
  <c r="BG24" i="1" s="1"/>
  <c r="BD24" i="1"/>
  <c r="BE24" i="1" s="1"/>
  <c r="CF23" i="1"/>
  <c r="CG23" i="1" s="1"/>
  <c r="CD23" i="1"/>
  <c r="CE23" i="1" s="1"/>
  <c r="CB23" i="1"/>
  <c r="CC23" i="1" s="1"/>
  <c r="BZ23" i="1"/>
  <c r="CA23" i="1" s="1"/>
  <c r="BX23" i="1"/>
  <c r="BY23" i="1" s="1"/>
  <c r="BV23" i="1"/>
  <c r="BW23" i="1" s="1"/>
  <c r="BT23" i="1"/>
  <c r="BU23" i="1" s="1"/>
  <c r="BR23" i="1"/>
  <c r="BS23" i="1" s="1"/>
  <c r="BP23" i="1"/>
  <c r="BQ23" i="1" s="1"/>
  <c r="BN23" i="1"/>
  <c r="BO23" i="1" s="1"/>
  <c r="BL23" i="1"/>
  <c r="BM23" i="1" s="1"/>
  <c r="BJ23" i="1"/>
  <c r="BK23" i="1" s="1"/>
  <c r="BH23" i="1"/>
  <c r="BI23" i="1" s="1"/>
  <c r="BF23" i="1"/>
  <c r="BG23" i="1" s="1"/>
  <c r="BD23" i="1"/>
  <c r="BE23" i="1" s="1"/>
  <c r="CF22" i="1"/>
  <c r="CG22" i="1" s="1"/>
  <c r="CD22" i="1"/>
  <c r="CE22" i="1" s="1"/>
  <c r="CB22" i="1"/>
  <c r="CC22" i="1" s="1"/>
  <c r="BZ22" i="1"/>
  <c r="CA22" i="1" s="1"/>
  <c r="BX22" i="1"/>
  <c r="BY22" i="1" s="1"/>
  <c r="BV22" i="1"/>
  <c r="BW22" i="1" s="1"/>
  <c r="BT22" i="1"/>
  <c r="BU22" i="1" s="1"/>
  <c r="BR22" i="1"/>
  <c r="BS22" i="1" s="1"/>
  <c r="BP22" i="1"/>
  <c r="BQ22" i="1" s="1"/>
  <c r="BN22" i="1"/>
  <c r="BO22" i="1" s="1"/>
  <c r="BL22" i="1"/>
  <c r="BM22" i="1" s="1"/>
  <c r="BJ22" i="1"/>
  <c r="BK22" i="1" s="1"/>
  <c r="BH22" i="1"/>
  <c r="BI22" i="1" s="1"/>
  <c r="BF22" i="1"/>
  <c r="BG22" i="1" s="1"/>
  <c r="BD22" i="1"/>
  <c r="BE22" i="1" s="1"/>
  <c r="CF21" i="1"/>
  <c r="CG21" i="1" s="1"/>
  <c r="CD21" i="1"/>
  <c r="CE21" i="1" s="1"/>
  <c r="CB21" i="1"/>
  <c r="CC21" i="1" s="1"/>
  <c r="BZ21" i="1"/>
  <c r="CA21" i="1" s="1"/>
  <c r="BX21" i="1"/>
  <c r="BY21" i="1" s="1"/>
  <c r="BV21" i="1"/>
  <c r="BW21" i="1" s="1"/>
  <c r="BT21" i="1"/>
  <c r="BU21" i="1" s="1"/>
  <c r="BR21" i="1"/>
  <c r="BS21" i="1" s="1"/>
  <c r="BP21" i="1"/>
  <c r="BQ21" i="1" s="1"/>
  <c r="BN21" i="1"/>
  <c r="BO21" i="1" s="1"/>
  <c r="BL21" i="1"/>
  <c r="BM21" i="1" s="1"/>
  <c r="BJ21" i="1"/>
  <c r="BK21" i="1" s="1"/>
  <c r="BH21" i="1"/>
  <c r="BI21" i="1" s="1"/>
  <c r="BF21" i="1"/>
  <c r="BG21" i="1" s="1"/>
  <c r="BD21" i="1"/>
  <c r="BE21" i="1" s="1"/>
  <c r="CF20" i="1"/>
  <c r="CG20" i="1" s="1"/>
  <c r="CD20" i="1"/>
  <c r="CE20" i="1" s="1"/>
  <c r="CB20" i="1"/>
  <c r="CC20" i="1" s="1"/>
  <c r="BZ20" i="1"/>
  <c r="CA20" i="1" s="1"/>
  <c r="BX20" i="1"/>
  <c r="BY20" i="1" s="1"/>
  <c r="BV20" i="1"/>
  <c r="BW20" i="1" s="1"/>
  <c r="BT20" i="1"/>
  <c r="BU20" i="1" s="1"/>
  <c r="BR20" i="1"/>
  <c r="BS20" i="1" s="1"/>
  <c r="BP20" i="1"/>
  <c r="BQ20" i="1" s="1"/>
  <c r="BN20" i="1"/>
  <c r="BO20" i="1" s="1"/>
  <c r="BL20" i="1"/>
  <c r="BM20" i="1" s="1"/>
  <c r="BJ20" i="1"/>
  <c r="BK20" i="1" s="1"/>
  <c r="BH20" i="1"/>
  <c r="BI20" i="1" s="1"/>
  <c r="BF20" i="1"/>
  <c r="BG20" i="1" s="1"/>
  <c r="BD20" i="1"/>
  <c r="BE20" i="1" s="1"/>
  <c r="CF19" i="1"/>
  <c r="CG19" i="1" s="1"/>
  <c r="CD19" i="1"/>
  <c r="CE19" i="1" s="1"/>
  <c r="CB19" i="1"/>
  <c r="CC19" i="1" s="1"/>
  <c r="BZ19" i="1"/>
  <c r="CA19" i="1" s="1"/>
  <c r="BX19" i="1"/>
  <c r="BY19" i="1" s="1"/>
  <c r="BV19" i="1"/>
  <c r="BW19" i="1" s="1"/>
  <c r="BT19" i="1"/>
  <c r="BU19" i="1" s="1"/>
  <c r="BR19" i="1"/>
  <c r="BS19" i="1" s="1"/>
  <c r="BP19" i="1"/>
  <c r="BQ19" i="1" s="1"/>
  <c r="BN19" i="1"/>
  <c r="BO19" i="1" s="1"/>
  <c r="BL19" i="1"/>
  <c r="BM19" i="1" s="1"/>
  <c r="BJ19" i="1"/>
  <c r="BK19" i="1" s="1"/>
  <c r="BH19" i="1"/>
  <c r="BI19" i="1" s="1"/>
  <c r="BF19" i="1"/>
  <c r="BG19" i="1" s="1"/>
  <c r="BD19" i="1"/>
  <c r="BE19" i="1" s="1"/>
  <c r="CF18" i="1"/>
  <c r="CG18" i="1" s="1"/>
  <c r="CD18" i="1"/>
  <c r="CE18" i="1" s="1"/>
  <c r="CB18" i="1"/>
  <c r="CC18" i="1" s="1"/>
  <c r="BZ18" i="1"/>
  <c r="CA18" i="1" s="1"/>
  <c r="BX18" i="1"/>
  <c r="BY18" i="1" s="1"/>
  <c r="BV18" i="1"/>
  <c r="BW18" i="1" s="1"/>
  <c r="BT18" i="1"/>
  <c r="BU18" i="1" s="1"/>
  <c r="BR18" i="1"/>
  <c r="BS18" i="1" s="1"/>
  <c r="BP18" i="1"/>
  <c r="BQ18" i="1" s="1"/>
  <c r="BN18" i="1"/>
  <c r="BO18" i="1" s="1"/>
  <c r="BL18" i="1"/>
  <c r="BM18" i="1" s="1"/>
  <c r="BJ18" i="1"/>
  <c r="BK18" i="1" s="1"/>
  <c r="BH18" i="1"/>
  <c r="BI18" i="1" s="1"/>
  <c r="BF18" i="1"/>
  <c r="BG18" i="1" s="1"/>
  <c r="BD18" i="1"/>
  <c r="BE18" i="1" s="1"/>
  <c r="CF17" i="1"/>
  <c r="CG17" i="1" s="1"/>
  <c r="CD17" i="1"/>
  <c r="CE17" i="1" s="1"/>
  <c r="BZ17" i="1"/>
  <c r="CA17" i="1" s="1"/>
  <c r="BX17" i="1"/>
  <c r="BY17" i="1" s="1"/>
  <c r="BT17" i="1"/>
  <c r="BU17" i="1" s="1"/>
  <c r="BR17" i="1"/>
  <c r="BS17" i="1" s="1"/>
  <c r="BP17" i="1"/>
  <c r="BQ17" i="1" s="1"/>
  <c r="BN17" i="1"/>
  <c r="BO17" i="1" s="1"/>
  <c r="BL17" i="1"/>
  <c r="BM17" i="1" s="1"/>
  <c r="BJ17" i="1"/>
  <c r="BK17" i="1" s="1"/>
  <c r="BH17" i="1"/>
  <c r="BI17" i="1" s="1"/>
  <c r="BF17" i="1"/>
  <c r="BG17" i="1" s="1"/>
  <c r="BD17" i="1"/>
  <c r="BE17" i="1" s="1"/>
  <c r="CF16" i="1"/>
  <c r="CG16" i="1" s="1"/>
  <c r="CD16" i="1"/>
  <c r="CE16" i="1" s="1"/>
  <c r="CB16" i="1"/>
  <c r="CC16" i="1" s="1"/>
  <c r="BZ16" i="1"/>
  <c r="CA16" i="1" s="1"/>
  <c r="BX16" i="1"/>
  <c r="BY16" i="1" s="1"/>
  <c r="BV16" i="1"/>
  <c r="BW16" i="1" s="1"/>
  <c r="BT16" i="1"/>
  <c r="BU16" i="1" s="1"/>
  <c r="BR16" i="1"/>
  <c r="BS16" i="1" s="1"/>
  <c r="BP16" i="1"/>
  <c r="BQ16" i="1" s="1"/>
  <c r="BN16" i="1"/>
  <c r="BO16" i="1" s="1"/>
  <c r="BL16" i="1"/>
  <c r="BM16" i="1" s="1"/>
  <c r="BJ16" i="1"/>
  <c r="BK16" i="1" s="1"/>
  <c r="BH16" i="1"/>
  <c r="BI16" i="1" s="1"/>
  <c r="BF16" i="1"/>
  <c r="BG16" i="1" s="1"/>
  <c r="BD16" i="1"/>
  <c r="BE16" i="1" s="1"/>
  <c r="CF15" i="1"/>
  <c r="CG15" i="1" s="1"/>
  <c r="CD15" i="1"/>
  <c r="CE15" i="1" s="1"/>
  <c r="CB15" i="1"/>
  <c r="CC15" i="1" s="1"/>
  <c r="BZ15" i="1"/>
  <c r="CA15" i="1" s="1"/>
  <c r="BX15" i="1"/>
  <c r="BY15" i="1" s="1"/>
  <c r="BV15" i="1"/>
  <c r="BW15" i="1" s="1"/>
  <c r="BT15" i="1"/>
  <c r="BU15" i="1" s="1"/>
  <c r="BR15" i="1"/>
  <c r="BS15" i="1" s="1"/>
  <c r="BP15" i="1"/>
  <c r="BQ15" i="1" s="1"/>
  <c r="BN15" i="1"/>
  <c r="BO15" i="1" s="1"/>
  <c r="BL15" i="1"/>
  <c r="BM15" i="1" s="1"/>
  <c r="BJ15" i="1"/>
  <c r="BK15" i="1" s="1"/>
  <c r="BH15" i="1"/>
  <c r="BI15" i="1" s="1"/>
  <c r="BF15" i="1"/>
  <c r="BG15" i="1" s="1"/>
  <c r="BD15" i="1"/>
  <c r="BE15" i="1" s="1"/>
  <c r="AO15" i="1"/>
  <c r="DV15" i="1" s="1"/>
  <c r="AO16" i="1"/>
  <c r="DV16" i="1" s="1"/>
  <c r="AO32" i="1"/>
  <c r="DV32" i="1" s="1"/>
  <c r="AL32" i="1"/>
  <c r="AK32" i="1"/>
  <c r="AJ32" i="1"/>
  <c r="AO31" i="1"/>
  <c r="DV31" i="1" s="1"/>
  <c r="AL31" i="1"/>
  <c r="AK31" i="1"/>
  <c r="AJ31" i="1"/>
  <c r="AO30" i="1"/>
  <c r="DV30" i="1" s="1"/>
  <c r="AL30" i="1"/>
  <c r="AK30" i="1"/>
  <c r="AJ30" i="1"/>
  <c r="AO29" i="1"/>
  <c r="DV29" i="1" s="1"/>
  <c r="AL29" i="1"/>
  <c r="AK29" i="1"/>
  <c r="AJ29" i="1"/>
  <c r="AO28" i="1"/>
  <c r="DV28" i="1" s="1"/>
  <c r="AL28" i="1"/>
  <c r="AK28" i="1"/>
  <c r="AJ28" i="1"/>
  <c r="AO27" i="1"/>
  <c r="DV27" i="1" s="1"/>
  <c r="AL27" i="1"/>
  <c r="AK27" i="1"/>
  <c r="AJ27" i="1"/>
  <c r="AO26" i="1"/>
  <c r="DV26" i="1" s="1"/>
  <c r="AL26" i="1"/>
  <c r="AK26" i="1"/>
  <c r="AJ26" i="1"/>
  <c r="AO25" i="1"/>
  <c r="DV25" i="1" s="1"/>
  <c r="AL25" i="1"/>
  <c r="AK25" i="1"/>
  <c r="AJ25" i="1"/>
  <c r="AO24" i="1"/>
  <c r="DV24" i="1" s="1"/>
  <c r="AL24" i="1"/>
  <c r="AK24" i="1"/>
  <c r="AJ24" i="1"/>
  <c r="AO23" i="1"/>
  <c r="DV23" i="1" s="1"/>
  <c r="AL23" i="1"/>
  <c r="AK23" i="1"/>
  <c r="AJ23" i="1"/>
  <c r="AO22" i="1"/>
  <c r="DV22" i="1" s="1"/>
  <c r="AL22" i="1"/>
  <c r="AK22" i="1"/>
  <c r="AJ22" i="1"/>
  <c r="AO21" i="1"/>
  <c r="DV21" i="1" s="1"/>
  <c r="AL21" i="1"/>
  <c r="AK21" i="1"/>
  <c r="AJ21" i="1"/>
  <c r="AO20" i="1"/>
  <c r="DV20" i="1" s="1"/>
  <c r="AL20" i="1"/>
  <c r="AK20" i="1"/>
  <c r="AJ20" i="1"/>
  <c r="AO19" i="1"/>
  <c r="DV19" i="1" s="1"/>
  <c r="AL19" i="1"/>
  <c r="AK19" i="1"/>
  <c r="AJ19" i="1"/>
  <c r="AO18" i="1"/>
  <c r="DV18" i="1" s="1"/>
  <c r="AL18" i="1"/>
  <c r="AK18" i="1"/>
  <c r="AJ18" i="1"/>
  <c r="AO17" i="1"/>
  <c r="DV17" i="1" s="1"/>
  <c r="AL17" i="1"/>
  <c r="AK17" i="1"/>
  <c r="AJ17" i="1"/>
  <c r="AL16" i="1"/>
  <c r="AK16" i="1"/>
  <c r="AJ16" i="1"/>
  <c r="AL15" i="1"/>
  <c r="AK15" i="1"/>
  <c r="AJ15" i="1"/>
  <c r="BL14" i="1"/>
  <c r="BM14" i="1" s="1"/>
  <c r="BD14" i="1"/>
  <c r="BE14" i="1" s="1"/>
  <c r="CB13" i="1"/>
  <c r="CC13" i="1" s="1"/>
  <c r="BT13" i="1"/>
  <c r="BU13" i="1" s="1"/>
  <c r="BL13" i="1"/>
  <c r="BM13" i="1" s="1"/>
  <c r="BD13" i="1"/>
  <c r="BE13" i="1" s="1"/>
  <c r="CF12" i="1"/>
  <c r="CG12" i="1" s="1"/>
  <c r="CD12" i="1"/>
  <c r="CE12" i="1" s="1"/>
  <c r="BR12" i="1"/>
  <c r="BS12" i="1" s="1"/>
  <c r="BP12" i="1"/>
  <c r="BQ12" i="1" s="1"/>
  <c r="BD12" i="1"/>
  <c r="BE12" i="1" s="1"/>
  <c r="CF13" i="1"/>
  <c r="BF13" i="1"/>
  <c r="CD13" i="1"/>
  <c r="CE13" i="1" s="1"/>
  <c r="BV13" i="1"/>
  <c r="BN13" i="1"/>
  <c r="BV17" i="1"/>
  <c r="CF14" i="1"/>
  <c r="BZ14" i="1"/>
  <c r="BR14" i="1"/>
  <c r="BJ14" i="1"/>
  <c r="BX14" i="1"/>
  <c r="CB17" i="1"/>
  <c r="BT14" i="1"/>
  <c r="AM31" i="1"/>
  <c r="BJ12" i="1"/>
  <c r="BJ13" i="1"/>
  <c r="BZ13" i="1"/>
  <c r="AM18" i="1"/>
  <c r="BN11" i="1"/>
  <c r="BV12" i="1"/>
  <c r="BH13" i="1"/>
  <c r="AM15" i="1"/>
  <c r="BN12" i="1"/>
  <c r="AN30" i="1"/>
  <c r="AN26" i="1"/>
  <c r="AN22" i="1"/>
  <c r="AN18" i="1"/>
  <c r="AN16" i="1"/>
  <c r="BV14" i="1"/>
  <c r="AM27" i="1"/>
  <c r="BP13" i="1"/>
  <c r="AM30" i="1"/>
  <c r="BP14" i="1"/>
  <c r="AM16" i="1"/>
  <c r="AM32" i="1"/>
  <c r="BR13" i="1"/>
  <c r="AN29" i="1"/>
  <c r="AN21" i="1"/>
  <c r="AN15" i="1"/>
  <c r="AM20" i="1"/>
  <c r="AN19" i="1"/>
  <c r="AM29" i="1"/>
  <c r="BX13" i="1"/>
  <c r="AM17" i="1"/>
  <c r="AN25" i="1"/>
  <c r="AN17" i="1"/>
  <c r="BZ12" i="1"/>
  <c r="BF12" i="1"/>
  <c r="AM25" i="1"/>
  <c r="AN31" i="1"/>
  <c r="AN23" i="1"/>
  <c r="CD14" i="1"/>
  <c r="BN14" i="1"/>
  <c r="AM23" i="1"/>
  <c r="CB12" i="1"/>
  <c r="BX12" i="1"/>
  <c r="AM21" i="1"/>
  <c r="AM26" i="1"/>
  <c r="BL12" i="1"/>
  <c r="AM28" i="1"/>
  <c r="AM24" i="1"/>
  <c r="AN32" i="1"/>
  <c r="AN28" i="1"/>
  <c r="AN24" i="1"/>
  <c r="AN20" i="1"/>
  <c r="AN12" i="1"/>
  <c r="CB14" i="1"/>
  <c r="BF14" i="1"/>
  <c r="BH12" i="1"/>
  <c r="BH14" i="1"/>
  <c r="AM22" i="1"/>
  <c r="BT12" i="1"/>
  <c r="AN27" i="1"/>
  <c r="AN13" i="1"/>
  <c r="AN14" i="1"/>
  <c r="AN11" i="1"/>
  <c r="CC17" i="1" l="1"/>
  <c r="CC14" i="1"/>
  <c r="CE14" i="1"/>
  <c r="BW14" i="1"/>
  <c r="BU14" i="1"/>
  <c r="BO14" i="1"/>
  <c r="BG14" i="1"/>
  <c r="CA13" i="1"/>
  <c r="BS13" i="1"/>
  <c r="BK13" i="1"/>
  <c r="BW17" i="1"/>
  <c r="BO11" i="1"/>
  <c r="BK14" i="1"/>
  <c r="BS14" i="1"/>
  <c r="CA14" i="1"/>
  <c r="BY14" i="1"/>
  <c r="BI14" i="1"/>
  <c r="BQ14" i="1"/>
  <c r="CG14" i="1"/>
  <c r="BO13" i="1"/>
  <c r="BW13" i="1"/>
  <c r="BQ13" i="1"/>
  <c r="BG13" i="1"/>
  <c r="BI13" i="1"/>
  <c r="BY13" i="1"/>
  <c r="CG13" i="1"/>
  <c r="BG12" i="1"/>
  <c r="BK12" i="1"/>
  <c r="BO12" i="1"/>
  <c r="BW12" i="1"/>
  <c r="CA12" i="1"/>
  <c r="BI12" i="1"/>
  <c r="BM12" i="1"/>
  <c r="BU12" i="1"/>
  <c r="BY12" i="1"/>
  <c r="CC12" i="1"/>
  <c r="CB11" i="1"/>
  <c r="BZ11" i="1"/>
  <c r="BF11" i="1"/>
  <c r="BR11" i="1"/>
  <c r="BV11" i="1"/>
  <c r="BL11" i="1"/>
  <c r="BX11" i="1"/>
  <c r="BH11" i="1"/>
  <c r="BJ11" i="1"/>
  <c r="BT11" i="1"/>
  <c r="BD11" i="1"/>
  <c r="BP11" i="1"/>
  <c r="CD11" i="1"/>
  <c r="CF11" i="1"/>
  <c r="BE11" i="1" l="1"/>
  <c r="BQ11" i="1"/>
  <c r="CG11" i="1"/>
  <c r="CE11" i="1"/>
  <c r="BS11" i="1"/>
  <c r="BU11" i="1"/>
  <c r="BW11" i="1"/>
  <c r="BY11" i="1"/>
  <c r="CA11" i="1"/>
  <c r="CC11" i="1"/>
  <c r="BI11" i="1"/>
  <c r="BK11" i="1"/>
  <c r="BM11" i="1"/>
  <c r="BG11" i="1"/>
  <c r="F10" i="1"/>
  <c r="BF9" i="1" s="1"/>
  <c r="BD9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B31" i="1"/>
  <c r="BA31" i="1"/>
  <c r="BB30" i="1"/>
  <c r="BA30" i="1"/>
  <c r="BB29" i="1"/>
  <c r="BA29" i="1"/>
  <c r="BB28" i="1"/>
  <c r="BA28" i="1"/>
  <c r="BB27" i="1"/>
  <c r="BA27" i="1"/>
  <c r="BB26" i="1"/>
  <c r="BA26" i="1"/>
  <c r="BB25" i="1"/>
  <c r="BA25" i="1"/>
  <c r="BA32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B15" i="1"/>
  <c r="BB32" i="1"/>
  <c r="BB24" i="1"/>
  <c r="BB23" i="1"/>
  <c r="BB22" i="1"/>
  <c r="BB21" i="1"/>
  <c r="BB20" i="1"/>
  <c r="BB19" i="1"/>
  <c r="BB18" i="1"/>
  <c r="BB17" i="1"/>
  <c r="BB16" i="1"/>
  <c r="BB14" i="1"/>
  <c r="BB13" i="1"/>
  <c r="AJ14" i="1"/>
  <c r="AL14" i="1"/>
  <c r="AL11" i="1"/>
  <c r="AL13" i="1"/>
  <c r="AL12" i="1"/>
  <c r="AM12" i="1"/>
  <c r="AM13" i="1"/>
  <c r="AM14" i="1"/>
  <c r="AM11" i="1"/>
  <c r="AO14" i="1" l="1"/>
  <c r="DV14" i="1" s="1"/>
  <c r="AO12" i="1" l="1"/>
  <c r="DV12" i="1" s="1"/>
  <c r="AO13" i="1"/>
  <c r="DV13" i="1" s="1"/>
  <c r="AK14" i="1"/>
  <c r="AK13" i="1"/>
  <c r="AK12" i="1"/>
  <c r="AJ13" i="1"/>
  <c r="AJ12" i="1"/>
  <c r="AU32" i="1"/>
  <c r="AP32" i="1" s="1"/>
  <c r="AQ32" i="1" s="1"/>
  <c r="AR32" i="1" s="1"/>
  <c r="AU31" i="1"/>
  <c r="AP31" i="1" s="1"/>
  <c r="AQ31" i="1" s="1"/>
  <c r="AR31" i="1" s="1"/>
  <c r="AU30" i="1"/>
  <c r="AP30" i="1" s="1"/>
  <c r="AQ30" i="1" s="1"/>
  <c r="AR30" i="1" s="1"/>
  <c r="AU29" i="1"/>
  <c r="AP29" i="1" s="1"/>
  <c r="AQ29" i="1" s="1"/>
  <c r="AR29" i="1" s="1"/>
  <c r="AU28" i="1"/>
  <c r="AP28" i="1" s="1"/>
  <c r="AQ28" i="1" s="1"/>
  <c r="AR28" i="1" s="1"/>
  <c r="AU27" i="1"/>
  <c r="AP27" i="1" s="1"/>
  <c r="AQ27" i="1" s="1"/>
  <c r="AR27" i="1" s="1"/>
  <c r="AU26" i="1"/>
  <c r="AP26" i="1" s="1"/>
  <c r="AQ26" i="1" s="1"/>
  <c r="AR26" i="1" s="1"/>
  <c r="AU25" i="1"/>
  <c r="AP25" i="1" s="1"/>
  <c r="AQ25" i="1" s="1"/>
  <c r="AR25" i="1" s="1"/>
  <c r="AU24" i="1"/>
  <c r="AP24" i="1" s="1"/>
  <c r="AQ24" i="1" s="1"/>
  <c r="AR24" i="1" s="1"/>
  <c r="AU23" i="1"/>
  <c r="AP23" i="1" s="1"/>
  <c r="AQ23" i="1" s="1"/>
  <c r="AR23" i="1" s="1"/>
  <c r="AU22" i="1"/>
  <c r="AP22" i="1" s="1"/>
  <c r="AQ22" i="1" s="1"/>
  <c r="AR22" i="1" s="1"/>
  <c r="AU21" i="1"/>
  <c r="AP21" i="1" s="1"/>
  <c r="AQ21" i="1" s="1"/>
  <c r="AR21" i="1" s="1"/>
  <c r="AU20" i="1"/>
  <c r="AP20" i="1" s="1"/>
  <c r="AQ20" i="1" s="1"/>
  <c r="AR20" i="1" s="1"/>
  <c r="AU19" i="1"/>
  <c r="AP19" i="1" s="1"/>
  <c r="AQ19" i="1" s="1"/>
  <c r="AR19" i="1" s="1"/>
  <c r="AU18" i="1"/>
  <c r="AP18" i="1" s="1"/>
  <c r="AQ18" i="1" s="1"/>
  <c r="AR18" i="1" s="1"/>
  <c r="AU17" i="1"/>
  <c r="AP17" i="1" s="1"/>
  <c r="AQ17" i="1" s="1"/>
  <c r="AR17" i="1" s="1"/>
  <c r="AU16" i="1"/>
  <c r="AP16" i="1" s="1"/>
  <c r="AQ16" i="1" s="1"/>
  <c r="AR16" i="1" s="1"/>
  <c r="AU15" i="1"/>
  <c r="AP15" i="1" s="1"/>
  <c r="AQ15" i="1" s="1"/>
  <c r="AR15" i="1" s="1"/>
  <c r="AU14" i="1"/>
  <c r="AU13" i="1"/>
  <c r="AU12" i="1"/>
  <c r="AU11" i="1"/>
  <c r="AP14" i="1" l="1"/>
  <c r="AQ14" i="1" s="1"/>
  <c r="AR14" i="1" s="1"/>
  <c r="AP13" i="1"/>
  <c r="AQ13" i="1" s="1"/>
  <c r="AR13" i="1" s="1"/>
  <c r="AP12" i="1"/>
  <c r="AQ12" i="1" s="1"/>
  <c r="AR12" i="1" s="1"/>
  <c r="AK11" i="1" l="1"/>
  <c r="AP11" i="1" s="1"/>
  <c r="AJ11" i="1"/>
  <c r="AO11" i="1"/>
  <c r="DV11" i="1" s="1"/>
  <c r="G10" i="1"/>
  <c r="H10" i="1" l="1"/>
  <c r="BH9" i="1"/>
  <c r="AQ11" i="1"/>
  <c r="AR11" i="1" l="1"/>
  <c r="I10" i="1"/>
  <c r="BJ9" i="1"/>
  <c r="BL9" i="1" l="1"/>
  <c r="J10" i="1"/>
  <c r="K10" i="1" l="1"/>
  <c r="BN9" i="1"/>
  <c r="BP9" i="1" l="1"/>
  <c r="L10" i="1"/>
  <c r="M10" i="1" l="1"/>
  <c r="BR9" i="1"/>
  <c r="N10" i="1" l="1"/>
  <c r="BT9" i="1"/>
  <c r="O10" i="1" l="1"/>
  <c r="BV9" i="1"/>
  <c r="P10" i="1" l="1"/>
  <c r="BX9" i="1"/>
  <c r="Q10" i="1" l="1"/>
  <c r="BZ9" i="1"/>
  <c r="R10" i="1" l="1"/>
  <c r="CB9" i="1"/>
  <c r="S10" i="1" l="1"/>
  <c r="CD9" i="1"/>
  <c r="T10" i="1" l="1"/>
  <c r="CF9" i="1"/>
  <c r="U10" i="1" l="1"/>
  <c r="CP9" i="1"/>
  <c r="V10" i="1" l="1"/>
  <c r="CR9" i="1"/>
  <c r="W10" i="1" l="1"/>
  <c r="CT9" i="1"/>
  <c r="X10" i="1" l="1"/>
  <c r="CV9" i="1"/>
  <c r="Y10" i="1" l="1"/>
  <c r="CX9" i="1"/>
  <c r="Z10" i="1" l="1"/>
  <c r="CZ9" i="1"/>
  <c r="AA10" i="1" l="1"/>
  <c r="DB9" i="1"/>
  <c r="AB10" i="1" l="1"/>
  <c r="DD9" i="1"/>
  <c r="AC10" i="1" l="1"/>
  <c r="DF9" i="1"/>
  <c r="AD10" i="1" l="1"/>
  <c r="DH9" i="1"/>
  <c r="AE10" i="1" l="1"/>
  <c r="DJ9" i="1"/>
  <c r="AF10" i="1" l="1"/>
  <c r="DL9" i="1"/>
  <c r="DN9" i="1" l="1"/>
  <c r="DP9" i="1" l="1"/>
  <c r="DT9" i="1" l="1"/>
  <c r="DR9" i="1"/>
</calcChain>
</file>

<file path=xl/sharedStrings.xml><?xml version="1.0" encoding="utf-8"?>
<sst xmlns="http://schemas.openxmlformats.org/spreadsheetml/2006/main" count="147" uniqueCount="49">
  <si>
    <t>Табель</t>
  </si>
  <si>
    <t>обліку використання робочого часу</t>
  </si>
  <si>
    <t>№</t>
  </si>
  <si>
    <t>Посада</t>
  </si>
  <si>
    <t>числа місяця</t>
  </si>
  <si>
    <t>Дні фактичної роботи</t>
  </si>
  <si>
    <t>Дні неявок</t>
  </si>
  <si>
    <t>Вихідні та святкові дні</t>
  </si>
  <si>
    <t>Відпрацьованих годин, всього</t>
  </si>
  <si>
    <t>Ставка</t>
  </si>
  <si>
    <t>за 2023 року</t>
  </si>
  <si>
    <t>лікар-онколог</t>
  </si>
  <si>
    <t>сестр. госп.</t>
  </si>
  <si>
    <t>завідувач</t>
  </si>
  <si>
    <t>старша м/с</t>
  </si>
  <si>
    <t>м/с маніпул.</t>
  </si>
  <si>
    <t>м/б маніпул.</t>
  </si>
  <si>
    <t>м/с перев'яз.</t>
  </si>
  <si>
    <t>м/с полікін.</t>
  </si>
  <si>
    <t>м/с стаціон.</t>
  </si>
  <si>
    <t>м/б стаціон.</t>
  </si>
  <si>
    <t>молодша м/с</t>
  </si>
  <si>
    <t>буфетниця</t>
  </si>
  <si>
    <t>вихователь</t>
  </si>
  <si>
    <t>наук. співр.</t>
  </si>
  <si>
    <t>Іващенко А.Д.</t>
  </si>
  <si>
    <t>В</t>
  </si>
  <si>
    <t>ВП</t>
  </si>
  <si>
    <t>Петрик П.М.</t>
  </si>
  <si>
    <t>Прізвище І.Б.</t>
  </si>
  <si>
    <t>Необхідні години</t>
  </si>
  <si>
    <t>Невідповідність годин</t>
  </si>
  <si>
    <t>каштелян</t>
  </si>
  <si>
    <t>Зарицька  І.І.</t>
  </si>
  <si>
    <t>Супронович Т.Ю.</t>
  </si>
  <si>
    <t>з</t>
  </si>
  <si>
    <t>до</t>
  </si>
  <si>
    <t>Нічні години</t>
  </si>
  <si>
    <t>Відрядження</t>
  </si>
  <si>
    <t xml:space="preserve">Чергова відпустка </t>
  </si>
  <si>
    <t>Коєфіціент годин</t>
  </si>
  <si>
    <t>С</t>
  </si>
  <si>
    <t>Державне некомерційне підприємство "Національний інститут раку"</t>
  </si>
  <si>
    <t>Відділення - дитячої онкології</t>
  </si>
  <si>
    <t>Графік роботи #2</t>
  </si>
  <si>
    <t>Графік роботи #1</t>
  </si>
  <si>
    <t>Ст м/с Козловська А.В.</t>
  </si>
  <si>
    <t>Зав відділ. Павлик С.В.</t>
  </si>
  <si>
    <t>Всього годин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</si>
</sst>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d/m;@"/>
    <numFmt numFmtId="166" formatCode="h:mm;@"/>
  </numFmts>
  <fonts count="27" x14ac:knownFonts="1">
    <font>
      <sz val="11"/>
      <color theme="1"/>
      <name val="Calibri"/>
      <family val="2"/>
      <scheme val="minor"/>
    </font>
    <font>
      <b/>
      <sz val="14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8"/>
      <name val="Arial"/>
      <family val="2"/>
      <charset val="204"/>
    </font>
    <font>
      <sz val="18"/>
      <name val="Arial"/>
      <family val="2"/>
      <charset val="204"/>
    </font>
    <font>
      <b/>
      <sz val="16"/>
      <name val="Arial"/>
      <family val="2"/>
      <charset val="204"/>
    </font>
    <font>
      <sz val="16"/>
      <name val="Arial"/>
      <family val="2"/>
      <charset val="204"/>
    </font>
    <font>
      <sz val="14"/>
      <color indexed="9"/>
      <name val="Arial"/>
      <family val="2"/>
      <charset val="204"/>
    </font>
    <font>
      <sz val="10"/>
      <color indexed="9"/>
      <name val="Arial"/>
      <family val="2"/>
      <charset val="204"/>
    </font>
    <font>
      <b/>
      <sz val="9"/>
      <name val="Arial"/>
      <family val="2"/>
      <charset val="204"/>
    </font>
    <font>
      <b/>
      <i/>
      <sz val="9"/>
      <name val="Arial"/>
      <family val="2"/>
      <charset val="204"/>
    </font>
    <font>
      <b/>
      <sz val="16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8"/>
      <color theme="0" tint="-0.499984740745262"/>
      <name val="Arial"/>
      <family val="2"/>
      <charset val="204"/>
    </font>
    <font>
      <sz val="10"/>
      <name val="Arial"/>
      <family val="2"/>
      <charset val="204"/>
    </font>
    <font>
      <sz val="11"/>
      <color theme="0" tint="-0.499984740745262"/>
      <name val="Calibri"/>
      <family val="2"/>
      <scheme val="minor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b/>
      <i/>
      <sz val="11"/>
      <name val="Arial"/>
      <family val="2"/>
      <charset val="204"/>
    </font>
    <font>
      <i/>
      <sz val="10"/>
      <name val="Arial"/>
      <family val="2"/>
      <charset val="204"/>
    </font>
    <font>
      <sz val="11"/>
      <color theme="0"/>
      <name val="Calibri"/>
      <family val="2"/>
      <scheme val="minor"/>
    </font>
    <font>
      <sz val="18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8"/>
      <color theme="0"/>
      <name val="Arial"/>
      <family val="2"/>
      <charset val="204"/>
    </font>
    <font>
      <b/>
      <sz val="11"/>
      <color theme="1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1" fillId="0" borderId="0" xfId="0" applyFont="1"/>
    <xf numFmtId="0" fontId="2" fillId="0" borderId="0" xfId="0" applyFont="1"/>
    <xf numFmtId="0" fontId="8" fillId="0" borderId="0" xfId="0" applyFont="1"/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Border="1"/>
    <xf numFmtId="0" fontId="7" fillId="0" borderId="0" xfId="0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0" fillId="0" borderId="0" xfId="0"/>
    <xf numFmtId="0" fontId="15" fillId="0" borderId="0" xfId="0" applyFont="1"/>
    <xf numFmtId="0" fontId="17" fillId="0" borderId="0" xfId="0" applyFont="1"/>
    <xf numFmtId="0" fontId="3" fillId="0" borderId="22" xfId="0" applyFont="1" applyFill="1" applyBorder="1" applyAlignment="1">
      <alignment horizontal="center" vertical="center"/>
    </xf>
    <xf numFmtId="0" fontId="21" fillId="0" borderId="22" xfId="0" applyFont="1" applyFill="1" applyBorder="1" applyAlignment="1">
      <alignment horizontal="center"/>
    </xf>
    <xf numFmtId="0" fontId="21" fillId="2" borderId="22" xfId="0" applyFont="1" applyFill="1" applyBorder="1" applyAlignment="1">
      <alignment horizontal="center"/>
    </xf>
    <xf numFmtId="165" fontId="20" fillId="3" borderId="10" xfId="0" applyNumberFormat="1" applyFont="1" applyFill="1" applyBorder="1" applyAlignment="1">
      <alignment horizontal="center" vertical="center" textRotation="90" wrapText="1"/>
    </xf>
    <xf numFmtId="0" fontId="0" fillId="0" borderId="0" xfId="0"/>
    <xf numFmtId="166" fontId="16" fillId="0" borderId="0" xfId="0" applyNumberFormat="1" applyFont="1" applyFill="1" applyBorder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18" fillId="0" borderId="0" xfId="0" applyFont="1"/>
    <xf numFmtId="0" fontId="22" fillId="0" borderId="0" xfId="0" applyFont="1"/>
    <xf numFmtId="0" fontId="25" fillId="0" borderId="0" xfId="0" applyFont="1"/>
    <xf numFmtId="0" fontId="22" fillId="0" borderId="0" xfId="0" applyFont="1" applyBorder="1"/>
    <xf numFmtId="0" fontId="25" fillId="0" borderId="0" xfId="0" applyFont="1" applyBorder="1"/>
    <xf numFmtId="2" fontId="25" fillId="3" borderId="0" xfId="0" applyNumberFormat="1" applyFont="1" applyFill="1" applyBorder="1" applyAlignment="1">
      <alignment horizontal="center" vertical="center"/>
    </xf>
    <xf numFmtId="0" fontId="0" fillId="0" borderId="21" xfId="0" applyBorder="1"/>
    <xf numFmtId="0" fontId="0" fillId="0" borderId="0" xfId="0"/>
    <xf numFmtId="165" fontId="18" fillId="0" borderId="22" xfId="0" applyNumberFormat="1" applyFont="1" applyFill="1" applyBorder="1" applyAlignment="1">
      <alignment horizontal="center"/>
    </xf>
    <xf numFmtId="0" fontId="18" fillId="0" borderId="22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9" fillId="2" borderId="3" xfId="0" applyFont="1" applyFill="1" applyBorder="1" applyAlignment="1">
      <alignment horizontal="center" vertical="center" wrapText="1"/>
    </xf>
    <xf numFmtId="0" fontId="19" fillId="2" borderId="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 applyProtection="1">
      <alignment horizontal="center" vertical="center" textRotation="90" wrapText="1"/>
    </xf>
    <xf numFmtId="0" fontId="4" fillId="2" borderId="2" xfId="0" applyFont="1" applyFill="1" applyBorder="1" applyAlignment="1" applyProtection="1">
      <alignment horizontal="center" vertical="center" wrapText="1"/>
    </xf>
    <xf numFmtId="0" fontId="11" fillId="2" borderId="2" xfId="0" applyFont="1" applyFill="1" applyBorder="1" applyAlignment="1" applyProtection="1">
      <alignment horizontal="center" vertical="center" textRotation="90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11" fillId="5" borderId="2" xfId="0" applyFont="1" applyFill="1" applyBorder="1" applyAlignment="1" applyProtection="1">
      <alignment horizontal="center" vertical="center" wrapText="1"/>
    </xf>
    <xf numFmtId="0" fontId="11" fillId="6" borderId="16" xfId="0" applyFont="1" applyFill="1" applyBorder="1" applyAlignment="1" applyProtection="1">
      <alignment horizontal="center" vertical="center" wrapText="1"/>
    </xf>
    <xf numFmtId="0" fontId="11" fillId="2" borderId="6" xfId="0" applyFont="1" applyFill="1" applyBorder="1" applyAlignment="1" applyProtection="1">
      <alignment horizontal="center" textRotation="90" wrapText="1"/>
    </xf>
    <xf numFmtId="0" fontId="12" fillId="2" borderId="7" xfId="0" applyFont="1" applyFill="1" applyBorder="1" applyAlignment="1" applyProtection="1">
      <alignment horizontal="center" vertical="center" textRotation="90" wrapText="1"/>
    </xf>
    <xf numFmtId="0" fontId="19" fillId="2" borderId="7" xfId="0" applyFont="1" applyFill="1" applyBorder="1" applyAlignment="1" applyProtection="1">
      <alignment horizontal="center" vertical="center" textRotation="90" wrapText="1"/>
    </xf>
    <xf numFmtId="0" fontId="11" fillId="2" borderId="7" xfId="0" applyFont="1" applyFill="1" applyBorder="1" applyAlignment="1" applyProtection="1">
      <alignment horizontal="center" textRotation="90"/>
    </xf>
    <xf numFmtId="0" fontId="11" fillId="2" borderId="8" xfId="0" applyFont="1" applyFill="1" applyBorder="1" applyAlignment="1" applyProtection="1">
      <alignment horizontal="center" vertical="center" wrapText="1"/>
    </xf>
    <xf numFmtId="0" fontId="11" fillId="5" borderId="7" xfId="0" applyFont="1" applyFill="1" applyBorder="1" applyAlignment="1" applyProtection="1">
      <alignment horizontal="center"/>
    </xf>
    <xf numFmtId="0" fontId="11" fillId="6" borderId="16" xfId="0" applyFont="1" applyFill="1" applyBorder="1" applyAlignment="1" applyProtection="1">
      <alignment horizontal="center"/>
    </xf>
    <xf numFmtId="165" fontId="20" fillId="3" borderId="9" xfId="0" applyNumberFormat="1" applyFont="1" applyFill="1" applyBorder="1" applyAlignment="1" applyProtection="1">
      <alignment horizontal="center" vertical="center" textRotation="90" wrapText="1"/>
      <protection locked="0"/>
    </xf>
    <xf numFmtId="0" fontId="7" fillId="0" borderId="0" xfId="0" applyFont="1" applyProtection="1">
      <protection locked="0"/>
    </xf>
    <xf numFmtId="0" fontId="13" fillId="2" borderId="0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top"/>
      <protection locked="0"/>
    </xf>
    <xf numFmtId="0" fontId="18" fillId="0" borderId="0" xfId="0" applyFont="1" applyProtection="1">
      <protection locked="0"/>
    </xf>
    <xf numFmtId="165" fontId="20" fillId="3" borderId="10" xfId="0" applyNumberFormat="1" applyFont="1" applyFill="1" applyBorder="1" applyAlignment="1" applyProtection="1">
      <alignment horizontal="center" vertical="center" textRotation="90" wrapText="1"/>
      <protection locked="0"/>
    </xf>
    <xf numFmtId="0" fontId="1" fillId="0" borderId="0" xfId="0" applyFont="1" applyProtection="1"/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left" vertical="top"/>
    </xf>
    <xf numFmtId="0" fontId="2" fillId="0" borderId="0" xfId="0" applyFont="1" applyProtection="1"/>
    <xf numFmtId="0" fontId="6" fillId="0" borderId="0" xfId="0" applyFont="1" applyAlignment="1" applyProtection="1">
      <alignment horizontal="center" vertical="center"/>
    </xf>
    <xf numFmtId="0" fontId="10" fillId="2" borderId="4" xfId="0" applyFont="1" applyFill="1" applyBorder="1" applyAlignment="1" applyProtection="1">
      <alignment horizontal="center" vertical="center" wrapText="1"/>
    </xf>
    <xf numFmtId="0" fontId="10" fillId="2" borderId="5" xfId="0" applyFont="1" applyFill="1" applyBorder="1" applyAlignment="1" applyProtection="1">
      <alignment horizontal="center" vertical="center" wrapText="1"/>
    </xf>
    <xf numFmtId="0" fontId="0" fillId="0" borderId="21" xfId="0" applyBorder="1" applyProtection="1"/>
    <xf numFmtId="0" fontId="0" fillId="0" borderId="0" xfId="0" applyProtection="1"/>
    <xf numFmtId="0" fontId="7" fillId="0" borderId="0" xfId="0" applyFont="1" applyProtection="1"/>
    <xf numFmtId="0" fontId="9" fillId="2" borderId="4" xfId="0" applyFont="1" applyFill="1" applyBorder="1" applyAlignment="1" applyProtection="1">
      <alignment horizontal="center" vertical="center" wrapText="1"/>
    </xf>
    <xf numFmtId="0" fontId="3" fillId="2" borderId="12" xfId="0" applyFont="1" applyFill="1" applyBorder="1" applyAlignment="1" applyProtection="1">
      <alignment horizontal="left" vertical="center" shrinkToFit="1"/>
      <protection locked="0"/>
    </xf>
    <xf numFmtId="0" fontId="3" fillId="2" borderId="13" xfId="0" applyFont="1" applyFill="1" applyBorder="1" applyAlignment="1" applyProtection="1">
      <alignment horizontal="left" vertical="center" shrinkToFit="1"/>
      <protection locked="0"/>
    </xf>
    <xf numFmtId="2" fontId="3" fillId="2" borderId="13" xfId="0" applyNumberFormat="1" applyFont="1" applyFill="1" applyBorder="1" applyAlignment="1" applyProtection="1">
      <alignment horizontal="center" vertical="center" shrinkToFit="1"/>
      <protection locked="0"/>
    </xf>
    <xf numFmtId="164" fontId="14" fillId="3" borderId="14" xfId="0" applyNumberFormat="1" applyFont="1" applyFill="1" applyBorder="1" applyAlignment="1" applyProtection="1">
      <alignment horizontal="center" vertical="center" shrinkToFit="1"/>
      <protection locked="0"/>
    </xf>
    <xf numFmtId="164" fontId="3" fillId="3" borderId="14" xfId="0" applyNumberFormat="1" applyFont="1" applyFill="1" applyBorder="1" applyAlignment="1" applyProtection="1">
      <alignment horizontal="center" vertical="center" shrinkToFit="1"/>
      <protection locked="0"/>
    </xf>
    <xf numFmtId="164" fontId="26" fillId="3" borderId="12" xfId="0" applyNumberFormat="1" applyFont="1" applyFill="1" applyBorder="1" applyAlignment="1" applyProtection="1">
      <alignment horizontal="center" vertical="center" shrinkToFit="1"/>
      <protection locked="0"/>
    </xf>
    <xf numFmtId="0" fontId="3" fillId="2" borderId="16" xfId="0" applyFont="1" applyFill="1" applyBorder="1" applyAlignment="1" applyProtection="1">
      <alignment horizontal="left" vertical="center" shrinkToFit="1"/>
      <protection locked="0"/>
    </xf>
    <xf numFmtId="0" fontId="3" fillId="2" borderId="17" xfId="0" applyFont="1" applyFill="1" applyBorder="1" applyAlignment="1" applyProtection="1">
      <alignment horizontal="left" vertical="center" shrinkToFit="1"/>
      <protection locked="0"/>
    </xf>
    <xf numFmtId="2" fontId="3" fillId="2" borderId="17" xfId="0" applyNumberFormat="1" applyFont="1" applyFill="1" applyBorder="1" applyAlignment="1" applyProtection="1">
      <alignment horizontal="center" vertical="center" shrinkToFit="1"/>
      <protection locked="0"/>
    </xf>
    <xf numFmtId="164" fontId="14" fillId="3" borderId="12" xfId="0" applyNumberFormat="1" applyFont="1" applyFill="1" applyBorder="1" applyAlignment="1" applyProtection="1">
      <alignment horizontal="center" vertical="center" shrinkToFit="1"/>
      <protection locked="0"/>
    </xf>
    <xf numFmtId="164" fontId="26" fillId="3" borderId="14" xfId="0" applyNumberFormat="1" applyFont="1" applyFill="1" applyBorder="1" applyAlignment="1" applyProtection="1">
      <alignment horizontal="center" vertical="center" shrinkToFit="1"/>
      <protection locked="0"/>
    </xf>
    <xf numFmtId="164" fontId="14" fillId="3" borderId="16" xfId="0" applyNumberFormat="1" applyFont="1" applyFill="1" applyBorder="1" applyAlignment="1" applyProtection="1">
      <alignment horizontal="center" vertical="center" shrinkToFit="1"/>
      <protection locked="0"/>
    </xf>
    <xf numFmtId="164" fontId="3" fillId="3" borderId="16" xfId="0" applyNumberFormat="1" applyFont="1" applyFill="1" applyBorder="1" applyAlignment="1" applyProtection="1">
      <alignment horizontal="center" vertical="center" shrinkToFit="1"/>
      <protection locked="0"/>
    </xf>
    <xf numFmtId="164" fontId="3" fillId="3" borderId="12" xfId="0" applyNumberFormat="1" applyFont="1" applyFill="1" applyBorder="1" applyAlignment="1" applyProtection="1">
      <alignment horizontal="center" vertical="center" shrinkToFit="1"/>
      <protection locked="0"/>
    </xf>
    <xf numFmtId="164" fontId="4" fillId="3" borderId="12" xfId="0" applyNumberFormat="1" applyFont="1" applyFill="1" applyBorder="1" applyAlignment="1" applyProtection="1">
      <alignment horizontal="center" vertical="center" shrinkToFit="1"/>
      <protection locked="0"/>
    </xf>
    <xf numFmtId="164" fontId="4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4" fillId="2" borderId="0" xfId="0" applyFont="1" applyFill="1" applyBorder="1" applyAlignment="1" applyProtection="1">
      <alignment horizontal="left" vertical="center" shrinkToFit="1"/>
      <protection locked="0"/>
    </xf>
    <xf numFmtId="0" fontId="3" fillId="2" borderId="18" xfId="0" applyFont="1" applyFill="1" applyBorder="1" applyAlignment="1" applyProtection="1">
      <alignment horizontal="left" vertical="center" shrinkToFit="1"/>
      <protection locked="0"/>
    </xf>
    <xf numFmtId="0" fontId="3" fillId="2" borderId="19" xfId="0" applyFont="1" applyFill="1" applyBorder="1" applyAlignment="1" applyProtection="1">
      <alignment horizontal="left" vertical="center" shrinkToFit="1"/>
      <protection locked="0"/>
    </xf>
    <xf numFmtId="0" fontId="3" fillId="2" borderId="10" xfId="0" applyFont="1" applyFill="1" applyBorder="1" applyAlignment="1" applyProtection="1">
      <alignment horizontal="left" vertical="center" shrinkToFit="1"/>
      <protection locked="0"/>
    </xf>
    <xf numFmtId="1" fontId="3" fillId="2" borderId="11" xfId="0" applyNumberFormat="1" applyFont="1" applyFill="1" applyBorder="1" applyAlignment="1" applyProtection="1">
      <alignment horizontal="center" vertical="center" shrinkToFit="1"/>
    </xf>
    <xf numFmtId="1" fontId="3" fillId="2" borderId="12" xfId="0" applyNumberFormat="1" applyFont="1" applyFill="1" applyBorder="1" applyAlignment="1" applyProtection="1">
      <alignment horizontal="center" vertical="center" shrinkToFit="1"/>
    </xf>
    <xf numFmtId="164" fontId="3" fillId="2" borderId="13" xfId="0" applyNumberFormat="1" applyFont="1" applyFill="1" applyBorder="1" applyAlignment="1" applyProtection="1">
      <alignment horizontal="center" vertical="center" shrinkToFit="1"/>
    </xf>
    <xf numFmtId="164" fontId="3" fillId="4" borderId="12" xfId="0" applyNumberFormat="1" applyFont="1" applyFill="1" applyBorder="1" applyAlignment="1" applyProtection="1">
      <alignment horizontal="center" vertical="center" shrinkToFit="1"/>
    </xf>
    <xf numFmtId="164" fontId="3" fillId="5" borderId="12" xfId="0" applyNumberFormat="1" applyFont="1" applyFill="1" applyBorder="1" applyAlignment="1" applyProtection="1">
      <alignment horizontal="center" vertical="center" shrinkToFit="1"/>
    </xf>
    <xf numFmtId="1" fontId="3" fillId="2" borderId="16" xfId="0" applyNumberFormat="1" applyFont="1" applyFill="1" applyBorder="1" applyAlignment="1" applyProtection="1">
      <alignment horizontal="center" vertical="center" shrinkToFit="1"/>
    </xf>
    <xf numFmtId="164" fontId="3" fillId="2" borderId="17" xfId="0" applyNumberFormat="1" applyFont="1" applyFill="1" applyBorder="1" applyAlignment="1" applyProtection="1">
      <alignment horizontal="center" vertical="center" shrinkToFit="1"/>
    </xf>
    <xf numFmtId="0" fontId="19" fillId="2" borderId="24" xfId="0" applyFont="1" applyFill="1" applyBorder="1" applyAlignment="1" applyProtection="1">
      <alignment horizontal="center" vertical="center" wrapText="1"/>
    </xf>
    <xf numFmtId="0" fontId="19" fillId="2" borderId="25" xfId="0" applyFont="1" applyFill="1" applyBorder="1" applyAlignment="1" applyProtection="1">
      <alignment horizontal="center" vertical="center" wrapText="1"/>
    </xf>
    <xf numFmtId="0" fontId="11" fillId="4" borderId="1" xfId="0" applyFont="1" applyFill="1" applyBorder="1" applyAlignment="1" applyProtection="1">
      <alignment horizontal="center" vertical="center" wrapText="1"/>
    </xf>
    <xf numFmtId="0" fontId="11" fillId="4" borderId="6" xfId="0" applyFont="1" applyFill="1" applyBorder="1" applyAlignment="1" applyProtection="1">
      <alignment horizontal="center"/>
    </xf>
    <xf numFmtId="2" fontId="17" fillId="6" borderId="16" xfId="0" applyNumberFormat="1" applyFont="1" applyFill="1" applyBorder="1" applyAlignment="1" applyProtection="1">
      <alignment shrinkToFit="1"/>
    </xf>
    <xf numFmtId="49" fontId="3" fillId="0" borderId="22" xfId="0" applyNumberFormat="1" applyFont="1" applyFill="1" applyBorder="1" applyAlignment="1">
      <alignment horizontal="left" vertical="center" shrinkToFit="1"/>
    </xf>
    <xf numFmtId="0" fontId="3" fillId="0" borderId="23" xfId="0" applyFont="1" applyFill="1" applyBorder="1" applyAlignment="1">
      <alignment horizontal="left" vertical="center" shrinkToFit="1"/>
    </xf>
    <xf numFmtId="20" fontId="16" fillId="0" borderId="12" xfId="0" applyNumberFormat="1" applyFont="1" applyFill="1" applyBorder="1" applyAlignment="1">
      <alignment horizontal="center" vertical="center" shrinkToFit="1"/>
    </xf>
    <xf numFmtId="166" fontId="16" fillId="0" borderId="12" xfId="0" applyNumberFormat="1" applyFont="1" applyFill="1" applyBorder="1" applyAlignment="1">
      <alignment horizontal="center" vertical="center" shrinkToFit="1"/>
    </xf>
    <xf numFmtId="166" fontId="16" fillId="3" borderId="12" xfId="0" applyNumberFormat="1" applyFont="1" applyFill="1" applyBorder="1" applyAlignment="1">
      <alignment horizontal="center" vertical="center" shrinkToFit="1"/>
    </xf>
    <xf numFmtId="0" fontId="3" fillId="0" borderId="22" xfId="0" applyFont="1" applyFill="1" applyBorder="1" applyAlignment="1">
      <alignment horizontal="left" vertical="center" shrinkToFit="1"/>
    </xf>
    <xf numFmtId="0" fontId="20" fillId="2" borderId="22" xfId="0" applyFont="1" applyFill="1" applyBorder="1" applyAlignment="1">
      <alignment horizontal="center" vertical="center" wrapText="1"/>
    </xf>
    <xf numFmtId="0" fontId="20" fillId="2" borderId="22" xfId="0" applyFont="1" applyFill="1" applyBorder="1" applyAlignment="1">
      <alignment vertical="center" wrapText="1"/>
    </xf>
    <xf numFmtId="164" fontId="3" fillId="2" borderId="13" xfId="0" applyNumberFormat="1" applyFont="1" applyFill="1" applyBorder="1" applyAlignment="1">
      <alignment horizontal="center" vertical="center" shrinkToFit="1"/>
    </xf>
    <xf numFmtId="0" fontId="20" fillId="2" borderId="1" xfId="0" applyFont="1" applyFill="1" applyBorder="1" applyAlignment="1" applyProtection="1">
      <alignment horizontal="center" vertical="center" wrapText="1"/>
    </xf>
    <xf numFmtId="0" fontId="20" fillId="2" borderId="2" xfId="0" applyFont="1" applyFill="1" applyBorder="1" applyAlignment="1" applyProtection="1">
      <alignment horizontal="center" vertical="center" wrapText="1"/>
    </xf>
    <xf numFmtId="0" fontId="20" fillId="2" borderId="3" xfId="0" applyFont="1" applyFill="1" applyBorder="1" applyAlignment="1" applyProtection="1">
      <alignment horizontal="center" vertical="center" wrapText="1"/>
    </xf>
    <xf numFmtId="0" fontId="20" fillId="2" borderId="6" xfId="0" applyFont="1" applyFill="1" applyBorder="1" applyAlignment="1" applyProtection="1">
      <alignment horizontal="center" vertical="center" wrapText="1"/>
    </xf>
    <xf numFmtId="0" fontId="20" fillId="2" borderId="7" xfId="0" applyFont="1" applyFill="1" applyBorder="1" applyAlignment="1" applyProtection="1">
      <alignment vertical="center" wrapText="1"/>
    </xf>
    <xf numFmtId="0" fontId="20" fillId="2" borderId="8" xfId="0" applyFont="1" applyFill="1" applyBorder="1" applyAlignment="1" applyProtection="1">
      <alignment horizontal="center" vertical="center" wrapText="1"/>
    </xf>
    <xf numFmtId="0" fontId="20" fillId="2" borderId="3" xfId="0" applyFont="1" applyFill="1" applyBorder="1" applyAlignment="1" applyProtection="1">
      <alignment horizontal="center" vertical="center" textRotation="90" wrapText="1"/>
    </xf>
    <xf numFmtId="0" fontId="20" fillId="2" borderId="8" xfId="0" applyFont="1" applyFill="1" applyBorder="1" applyAlignment="1" applyProtection="1">
      <alignment horizontal="center" vertical="center" textRotation="90" wrapText="1"/>
    </xf>
  </cellXfs>
  <cellStyles count="1">
    <cellStyle name="Normal" xfId="0" builtinId="0"/>
  </cellStyles>
  <dxfs count="3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V35"/>
  <sheetViews>
    <sheetView tabSelected="1" topLeftCell="A6" zoomScale="80" zoomScaleNormal="80" workbookViewId="0">
      <selection activeCell="AI10" sqref="AI10"/>
    </sheetView>
  </sheetViews>
  <sheetFormatPr defaultRowHeight="14.4" x14ac:dyDescent="0.3"/>
  <cols>
    <col min="1" max="1" width="4.21875" customWidth="1"/>
    <col min="2" max="2" width="18.33203125" customWidth="1"/>
    <col min="3" max="3" width="14.109375" customWidth="1"/>
    <col min="4" max="4" width="6.44140625" customWidth="1"/>
    <col min="5" max="5" width="5.33203125" customWidth="1"/>
    <col min="6" max="6" width="5.21875" customWidth="1"/>
    <col min="7" max="7" width="5.33203125" customWidth="1"/>
    <col min="8" max="8" width="5.44140625" customWidth="1"/>
    <col min="9" max="9" width="5.33203125" customWidth="1"/>
    <col min="10" max="13" width="5" customWidth="1"/>
    <col min="14" max="14" width="5.33203125" customWidth="1"/>
    <col min="15" max="15" width="5.109375" customWidth="1"/>
    <col min="16" max="16" width="4.77734375" customWidth="1"/>
    <col min="17" max="17" width="5" customWidth="1"/>
    <col min="18" max="18" width="4.88671875" customWidth="1"/>
    <col min="19" max="19" width="5" customWidth="1"/>
    <col min="20" max="20" width="4.77734375" customWidth="1"/>
    <col min="21" max="22" width="5" customWidth="1"/>
    <col min="23" max="23" width="5.44140625" customWidth="1"/>
    <col min="24" max="24" width="5" customWidth="1"/>
    <col min="25" max="25" width="4.88671875" customWidth="1"/>
    <col min="26" max="26" width="4.77734375" customWidth="1"/>
    <col min="27" max="27" width="4.88671875" customWidth="1"/>
    <col min="28" max="28" width="4.6640625" customWidth="1"/>
    <col min="29" max="29" width="4.88671875" customWidth="1"/>
    <col min="30" max="30" width="4.77734375" customWidth="1"/>
    <col min="31" max="31" width="4.88671875" customWidth="1"/>
    <col min="32" max="32" width="4.77734375" customWidth="1"/>
    <col min="33" max="35" width="4.77734375" style="67" customWidth="1"/>
    <col min="36" max="36" width="7" customWidth="1"/>
    <col min="37" max="37" width="7.109375" customWidth="1"/>
    <col min="38" max="38" width="6" customWidth="1"/>
    <col min="39" max="39" width="5.88671875" customWidth="1"/>
    <col min="40" max="40" width="6.21875" customWidth="1"/>
    <col min="42" max="43" width="7.109375" style="15" customWidth="1"/>
    <col min="44" max="44" width="7.109375" style="17" customWidth="1"/>
    <col min="45" max="45" width="8.88671875" style="17"/>
    <col min="47" max="51" width="8.88671875" style="28"/>
    <col min="53" max="53" width="4.33203125" customWidth="1"/>
    <col min="54" max="54" width="18.33203125" customWidth="1"/>
    <col min="55" max="55" width="14.109375" customWidth="1"/>
    <col min="56" max="56" width="6.5546875" customWidth="1"/>
    <col min="57" max="57" width="5.6640625" customWidth="1"/>
    <col min="58" max="58" width="6.6640625" customWidth="1"/>
    <col min="59" max="59" width="6.33203125" customWidth="1"/>
    <col min="60" max="60" width="5.5546875" customWidth="1"/>
    <col min="61" max="61" width="6.33203125" customWidth="1"/>
    <col min="62" max="62" width="5.5546875" customWidth="1"/>
    <col min="63" max="63" width="5.77734375" customWidth="1"/>
    <col min="64" max="64" width="5.44140625" customWidth="1"/>
    <col min="65" max="67" width="5.6640625" customWidth="1"/>
    <col min="68" max="68" width="5.44140625" customWidth="1"/>
    <col min="69" max="70" width="5.77734375" customWidth="1"/>
    <col min="71" max="71" width="5.6640625" customWidth="1"/>
    <col min="72" max="72" width="5.5546875" customWidth="1"/>
    <col min="73" max="74" width="5.6640625" customWidth="1"/>
    <col min="75" max="75" width="5.88671875" customWidth="1"/>
    <col min="76" max="76" width="5.5546875" customWidth="1"/>
    <col min="77" max="77" width="5.6640625" customWidth="1"/>
    <col min="78" max="78" width="5.5546875" customWidth="1"/>
    <col min="79" max="79" width="5.77734375" customWidth="1"/>
    <col min="80" max="80" width="5.5546875" customWidth="1"/>
    <col min="81" max="81" width="5.77734375" customWidth="1"/>
    <col min="82" max="82" width="5.44140625" customWidth="1"/>
    <col min="83" max="83" width="5.77734375" customWidth="1"/>
    <col min="84" max="84" width="5.5546875" customWidth="1"/>
    <col min="85" max="85" width="5.6640625" customWidth="1"/>
    <col min="91" max="91" width="5.5546875" customWidth="1"/>
    <col min="92" max="92" width="18.88671875" customWidth="1"/>
    <col min="93" max="93" width="14.109375" customWidth="1"/>
    <col min="94" max="94" width="6" customWidth="1"/>
    <col min="95" max="95" width="5.88671875" customWidth="1"/>
    <col min="96" max="96" width="6.33203125" customWidth="1"/>
    <col min="97" max="97" width="6" customWidth="1"/>
    <col min="98" max="98" width="6.109375" customWidth="1"/>
    <col min="99" max="99" width="5.6640625" customWidth="1"/>
    <col min="100" max="100" width="6" customWidth="1"/>
    <col min="101" max="101" width="5.6640625" customWidth="1"/>
    <col min="102" max="103" width="5.77734375" customWidth="1"/>
    <col min="104" max="106" width="6" customWidth="1"/>
    <col min="107" max="109" width="5.77734375" customWidth="1"/>
    <col min="110" max="110" width="6.109375" customWidth="1"/>
    <col min="111" max="111" width="6" customWidth="1"/>
    <col min="112" max="114" width="5.77734375" customWidth="1"/>
    <col min="115" max="115" width="6" customWidth="1"/>
    <col min="116" max="116" width="5.77734375" customWidth="1"/>
    <col min="117" max="117" width="6" customWidth="1"/>
    <col min="118" max="119" width="5.88671875" customWidth="1"/>
    <col min="120" max="120" width="6" customWidth="1"/>
    <col min="121" max="121" width="5.77734375" customWidth="1"/>
    <col min="122" max="122" width="5.88671875" customWidth="1"/>
    <col min="123" max="123" width="5.77734375" customWidth="1"/>
    <col min="124" max="124" width="5.77734375" style="34" customWidth="1"/>
    <col min="125" max="125" width="5.88671875" style="34" customWidth="1"/>
    <col min="126" max="126" width="8.88671875" style="34"/>
  </cols>
  <sheetData>
    <row r="1" spans="1:126" ht="21" customHeight="1" x14ac:dyDescent="0.3">
      <c r="A1" s="27"/>
      <c r="B1" s="57" t="s">
        <v>42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59"/>
      <c r="AH1" s="59"/>
      <c r="AI1" s="59"/>
      <c r="AJ1" s="1"/>
      <c r="AK1" s="1"/>
      <c r="AL1" s="1"/>
      <c r="AM1" s="1"/>
      <c r="AN1" s="1"/>
      <c r="AP1" s="1"/>
      <c r="AQ1" s="1"/>
      <c r="AR1" s="16"/>
      <c r="AS1" s="22"/>
      <c r="AU1" s="30"/>
      <c r="AV1" s="31" t="s">
        <v>13</v>
      </c>
      <c r="AW1" s="32">
        <v>0.25</v>
      </c>
      <c r="AX1" s="30"/>
      <c r="BB1" s="57" t="s">
        <v>42</v>
      </c>
      <c r="CN1" s="57" t="s">
        <v>42</v>
      </c>
    </row>
    <row r="2" spans="1:126" ht="17.399999999999999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60"/>
      <c r="AH2" s="60"/>
      <c r="AI2" s="60"/>
      <c r="AJ2" s="5"/>
      <c r="AK2" s="5"/>
      <c r="AL2" s="5"/>
      <c r="AM2" s="5"/>
      <c r="AN2" s="5"/>
      <c r="AP2" s="5"/>
      <c r="AQ2" s="5"/>
      <c r="AR2" s="16"/>
      <c r="AS2" s="22"/>
      <c r="AU2" s="30"/>
      <c r="AV2" s="31" t="s">
        <v>11</v>
      </c>
      <c r="AW2" s="32">
        <v>0.5</v>
      </c>
      <c r="AX2" s="30"/>
      <c r="CN2" s="34"/>
    </row>
    <row r="3" spans="1:126" ht="22.8" x14ac:dyDescent="0.3">
      <c r="A3" s="26"/>
      <c r="B3" s="56" t="s">
        <v>43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7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1"/>
      <c r="AH3" s="61"/>
      <c r="AI3" s="61"/>
      <c r="AJ3" s="6"/>
      <c r="AK3" s="6"/>
      <c r="AL3" s="6"/>
      <c r="AM3" s="6"/>
      <c r="AN3" s="6"/>
      <c r="AP3" s="6"/>
      <c r="AQ3" s="6"/>
      <c r="AR3" s="16"/>
      <c r="AS3" s="22"/>
      <c r="AU3" s="30"/>
      <c r="AV3" s="31" t="s">
        <v>14</v>
      </c>
      <c r="AW3" s="32">
        <v>0.75</v>
      </c>
      <c r="AX3" s="30"/>
      <c r="BB3" s="56" t="s">
        <v>43</v>
      </c>
      <c r="CN3" s="56" t="s">
        <v>43</v>
      </c>
    </row>
    <row r="4" spans="1:126" ht="22.8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7" t="s">
        <v>0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62"/>
      <c r="AH4" s="62"/>
      <c r="AI4" s="62"/>
      <c r="AJ4" s="2"/>
      <c r="AK4" s="2"/>
      <c r="AL4" s="2"/>
      <c r="AM4" s="2"/>
      <c r="AN4" s="2"/>
      <c r="AP4" s="2"/>
      <c r="AQ4" s="2"/>
      <c r="AR4" s="16"/>
      <c r="AS4" s="22"/>
      <c r="AU4" s="30"/>
      <c r="AV4" s="31" t="s">
        <v>15</v>
      </c>
      <c r="AW4" s="32">
        <v>1</v>
      </c>
      <c r="AX4" s="30"/>
      <c r="BN4" s="25"/>
      <c r="BO4" s="24"/>
    </row>
    <row r="5" spans="1:126" ht="22.8" x14ac:dyDescent="0.3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10" t="s">
        <v>1</v>
      </c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63"/>
      <c r="AH5" s="63"/>
      <c r="AI5" s="63"/>
      <c r="AJ5" s="8"/>
      <c r="AK5" s="8"/>
      <c r="AL5" s="8"/>
      <c r="AM5" s="8"/>
      <c r="AN5" s="8"/>
      <c r="AP5" s="8"/>
      <c r="AQ5" s="8"/>
      <c r="AR5" s="16"/>
      <c r="AS5" s="22"/>
      <c r="AU5" s="30"/>
      <c r="AV5" s="31" t="s">
        <v>16</v>
      </c>
      <c r="AW5" s="30"/>
      <c r="AX5" s="30"/>
      <c r="BN5" s="25" t="s">
        <v>45</v>
      </c>
      <c r="CA5" s="9"/>
      <c r="CB5" s="9"/>
      <c r="CC5" s="9"/>
      <c r="CD5" s="9"/>
      <c r="CX5" s="37"/>
      <c r="CZ5" s="25" t="s">
        <v>44</v>
      </c>
    </row>
    <row r="6" spans="1:126" ht="20.399999999999999" customHeigh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22"/>
      <c r="L6" s="6"/>
      <c r="M6" s="6"/>
      <c r="N6" s="6"/>
      <c r="O6" s="6"/>
      <c r="P6" s="22"/>
      <c r="Q6" s="6"/>
      <c r="R6" s="6"/>
      <c r="S6" s="55" t="s">
        <v>10</v>
      </c>
      <c r="T6" s="6"/>
      <c r="U6" s="6"/>
      <c r="V6" s="6"/>
      <c r="W6" s="6"/>
      <c r="X6" s="6"/>
      <c r="Y6" s="6"/>
      <c r="Z6" s="6"/>
      <c r="AA6" s="6"/>
      <c r="AB6" s="22"/>
      <c r="AC6" s="6"/>
      <c r="AD6" s="6"/>
      <c r="AE6" s="6"/>
      <c r="AF6" s="6"/>
      <c r="AG6" s="61"/>
      <c r="AH6" s="61"/>
      <c r="AI6" s="61"/>
      <c r="AJ6" s="6"/>
      <c r="AK6" s="6"/>
      <c r="AL6" s="6"/>
      <c r="AM6" s="6"/>
      <c r="AN6" s="6"/>
      <c r="AO6" s="22"/>
      <c r="AP6" s="6"/>
      <c r="AQ6" s="6"/>
      <c r="AR6" s="16"/>
      <c r="AS6" s="22"/>
      <c r="AU6" s="30"/>
      <c r="AV6" s="31" t="s">
        <v>17</v>
      </c>
      <c r="AW6" s="30"/>
      <c r="AX6" s="30"/>
      <c r="BN6" s="55" t="s">
        <v>10</v>
      </c>
      <c r="CA6" s="9"/>
      <c r="CB6" s="23"/>
      <c r="CC6" s="9"/>
      <c r="CD6" s="9"/>
      <c r="CX6" s="37"/>
      <c r="CZ6" s="55" t="s">
        <v>10</v>
      </c>
    </row>
    <row r="7" spans="1:126" ht="20.399999999999999" customHeigh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2"/>
      <c r="L7" s="2"/>
      <c r="M7" s="2"/>
      <c r="N7" s="2"/>
      <c r="O7" s="2"/>
      <c r="P7" s="2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2"/>
      <c r="AC7" s="2"/>
      <c r="AD7" s="2"/>
      <c r="AE7" s="2"/>
      <c r="AF7" s="2"/>
      <c r="AG7" s="62"/>
      <c r="AH7" s="62"/>
      <c r="AI7" s="62"/>
      <c r="AJ7" s="2"/>
      <c r="AK7" s="2"/>
      <c r="AL7" s="2"/>
      <c r="AM7" s="2"/>
      <c r="AN7" s="2"/>
      <c r="AO7" s="22"/>
      <c r="AP7" s="2"/>
      <c r="AQ7" s="2"/>
      <c r="AR7" s="16"/>
      <c r="AS7" s="22"/>
      <c r="AU7" s="30"/>
      <c r="AV7" s="31" t="s">
        <v>18</v>
      </c>
      <c r="AW7" s="30"/>
      <c r="AX7" s="30"/>
      <c r="CA7" s="9"/>
      <c r="CB7" s="9"/>
      <c r="CC7" s="9"/>
      <c r="CD7" s="9"/>
    </row>
    <row r="8" spans="1:126" ht="23.4" thickBot="1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22"/>
      <c r="L8" s="8"/>
      <c r="M8" s="8"/>
      <c r="N8" s="8"/>
      <c r="O8" s="8"/>
      <c r="P8" s="22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22"/>
      <c r="AC8" s="8"/>
      <c r="AD8" s="8"/>
      <c r="AE8" s="8"/>
      <c r="AF8" s="8"/>
      <c r="AG8" s="63"/>
      <c r="AH8" s="63"/>
      <c r="AI8" s="63"/>
      <c r="AJ8" s="8"/>
      <c r="AK8" s="8"/>
      <c r="AL8" s="8"/>
      <c r="AM8" s="8"/>
      <c r="AN8" s="8"/>
      <c r="AO8" s="22"/>
      <c r="AP8" s="8"/>
      <c r="AQ8" s="8"/>
      <c r="AR8" s="16"/>
      <c r="AS8" s="22"/>
      <c r="AU8" s="30"/>
      <c r="AV8" s="31" t="s">
        <v>19</v>
      </c>
      <c r="AW8" s="30"/>
      <c r="AX8" s="30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</row>
    <row r="9" spans="1:126" ht="17.399999999999999" customHeight="1" thickBot="1" x14ac:dyDescent="0.35">
      <c r="A9" s="111" t="s">
        <v>2</v>
      </c>
      <c r="B9" s="112" t="s">
        <v>29</v>
      </c>
      <c r="C9" s="113" t="s">
        <v>3</v>
      </c>
      <c r="D9" s="117" t="s">
        <v>9</v>
      </c>
      <c r="E9" s="69" t="s">
        <v>4</v>
      </c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5"/>
      <c r="AJ9" s="40" t="s">
        <v>5</v>
      </c>
      <c r="AK9" s="97" t="s">
        <v>6</v>
      </c>
      <c r="AL9" s="98"/>
      <c r="AM9" s="41"/>
      <c r="AN9" s="42" t="s">
        <v>7</v>
      </c>
      <c r="AO9" s="43" t="s">
        <v>8</v>
      </c>
      <c r="AP9" s="99" t="s">
        <v>30</v>
      </c>
      <c r="AQ9" s="44" t="s">
        <v>31</v>
      </c>
      <c r="AR9" s="45" t="s">
        <v>40</v>
      </c>
      <c r="AS9" s="22"/>
      <c r="AU9" s="30"/>
      <c r="AV9" s="31" t="s">
        <v>20</v>
      </c>
      <c r="AW9" s="30"/>
      <c r="AX9" s="30"/>
      <c r="BA9" s="108" t="s">
        <v>2</v>
      </c>
      <c r="BB9" s="108" t="s">
        <v>29</v>
      </c>
      <c r="BC9" s="108" t="s">
        <v>3</v>
      </c>
      <c r="BD9" s="35">
        <f>E10</f>
        <v>45200</v>
      </c>
      <c r="BE9" s="36"/>
      <c r="BF9" s="35">
        <f>F10</f>
        <v>45201</v>
      </c>
      <c r="BG9" s="36"/>
      <c r="BH9" s="35">
        <f>G10</f>
        <v>45202</v>
      </c>
      <c r="BI9" s="36"/>
      <c r="BJ9" s="35">
        <f>H10</f>
        <v>45203</v>
      </c>
      <c r="BK9" s="36"/>
      <c r="BL9" s="35">
        <f>I10</f>
        <v>45204</v>
      </c>
      <c r="BM9" s="36"/>
      <c r="BN9" s="35">
        <f>J10</f>
        <v>45205</v>
      </c>
      <c r="BO9" s="36"/>
      <c r="BP9" s="35">
        <f>K10</f>
        <v>45206</v>
      </c>
      <c r="BQ9" s="36"/>
      <c r="BR9" s="35">
        <f>L10</f>
        <v>45207</v>
      </c>
      <c r="BS9" s="36"/>
      <c r="BT9" s="35">
        <f>M10</f>
        <v>45208</v>
      </c>
      <c r="BU9" s="36"/>
      <c r="BV9" s="35">
        <f>N10</f>
        <v>45209</v>
      </c>
      <c r="BW9" s="36"/>
      <c r="BX9" s="35">
        <f>O10</f>
        <v>45210</v>
      </c>
      <c r="BY9" s="36"/>
      <c r="BZ9" s="35">
        <f>P10</f>
        <v>45211</v>
      </c>
      <c r="CA9" s="36"/>
      <c r="CB9" s="35">
        <f>Q10</f>
        <v>45212</v>
      </c>
      <c r="CC9" s="36"/>
      <c r="CD9" s="35">
        <f>R10</f>
        <v>45213</v>
      </c>
      <c r="CE9" s="36"/>
      <c r="CF9" s="35">
        <f>S10</f>
        <v>45214</v>
      </c>
      <c r="CG9" s="36"/>
      <c r="CM9" s="108" t="s">
        <v>2</v>
      </c>
      <c r="CN9" s="108" t="s">
        <v>29</v>
      </c>
      <c r="CO9" s="108" t="s">
        <v>3</v>
      </c>
      <c r="CP9" s="35">
        <f>T10</f>
        <v>45215</v>
      </c>
      <c r="CQ9" s="36"/>
      <c r="CR9" s="35">
        <f>U10</f>
        <v>45216</v>
      </c>
      <c r="CS9" s="36"/>
      <c r="CT9" s="35">
        <f>V10</f>
        <v>45217</v>
      </c>
      <c r="CU9" s="36"/>
      <c r="CV9" s="35">
        <f>W10</f>
        <v>45218</v>
      </c>
      <c r="CW9" s="36"/>
      <c r="CX9" s="35">
        <f>X10</f>
        <v>45219</v>
      </c>
      <c r="CY9" s="36"/>
      <c r="CZ9" s="35">
        <f>Y10</f>
        <v>45220</v>
      </c>
      <c r="DA9" s="36"/>
      <c r="DB9" s="35">
        <f>Z10</f>
        <v>45221</v>
      </c>
      <c r="DC9" s="36"/>
      <c r="DD9" s="35">
        <f>AA10</f>
        <v>45222</v>
      </c>
      <c r="DE9" s="36"/>
      <c r="DF9" s="35">
        <f>AB10</f>
        <v>45223</v>
      </c>
      <c r="DG9" s="36"/>
      <c r="DH9" s="35">
        <f>AC10</f>
        <v>45224</v>
      </c>
      <c r="DI9" s="36"/>
      <c r="DJ9" s="35">
        <f>AD10</f>
        <v>45225</v>
      </c>
      <c r="DK9" s="36"/>
      <c r="DL9" s="35">
        <f>AE10</f>
        <v>45226</v>
      </c>
      <c r="DM9" s="36"/>
      <c r="DN9" s="35">
        <f>AF10</f>
        <v>45227</v>
      </c>
      <c r="DO9" s="36"/>
      <c r="DP9" s="35">
        <f>AG10</f>
        <v>45228</v>
      </c>
      <c r="DQ9" s="36"/>
      <c r="DR9" s="35">
        <f>AH10</f>
        <v>45229</v>
      </c>
      <c r="DS9" s="36"/>
      <c r="DT9" s="35">
        <f>AI10</f>
        <v>45230</v>
      </c>
      <c r="DU9" s="36"/>
      <c r="DV9" s="38" t="s">
        <v>48</v>
      </c>
    </row>
    <row r="10" spans="1:126" ht="43.2" customHeight="1" thickBot="1" x14ac:dyDescent="0.35">
      <c r="A10" s="114"/>
      <c r="B10" s="115"/>
      <c r="C10" s="116"/>
      <c r="D10" s="118"/>
      <c r="E10" s="53">
        <v>45200</v>
      </c>
      <c r="F10" s="21">
        <f t="shared" ref="F10:AH10" si="0">E10+1</f>
        <v>45201</v>
      </c>
      <c r="G10" s="21">
        <f t="shared" si="0"/>
        <v>45202</v>
      </c>
      <c r="H10" s="21">
        <f t="shared" si="0"/>
        <v>45203</v>
      </c>
      <c r="I10" s="21">
        <f t="shared" si="0"/>
        <v>45204</v>
      </c>
      <c r="J10" s="21">
        <f t="shared" si="0"/>
        <v>45205</v>
      </c>
      <c r="K10" s="21">
        <f t="shared" si="0"/>
        <v>45206</v>
      </c>
      <c r="L10" s="21">
        <f t="shared" si="0"/>
        <v>45207</v>
      </c>
      <c r="M10" s="21">
        <f t="shared" si="0"/>
        <v>45208</v>
      </c>
      <c r="N10" s="21">
        <f t="shared" si="0"/>
        <v>45209</v>
      </c>
      <c r="O10" s="21">
        <f t="shared" si="0"/>
        <v>45210</v>
      </c>
      <c r="P10" s="21">
        <f t="shared" si="0"/>
        <v>45211</v>
      </c>
      <c r="Q10" s="21">
        <f t="shared" si="0"/>
        <v>45212</v>
      </c>
      <c r="R10" s="21">
        <f t="shared" si="0"/>
        <v>45213</v>
      </c>
      <c r="S10" s="21">
        <f t="shared" si="0"/>
        <v>45214</v>
      </c>
      <c r="T10" s="21">
        <f t="shared" si="0"/>
        <v>45215</v>
      </c>
      <c r="U10" s="21">
        <f t="shared" si="0"/>
        <v>45216</v>
      </c>
      <c r="V10" s="21">
        <f t="shared" si="0"/>
        <v>45217</v>
      </c>
      <c r="W10" s="21">
        <f t="shared" si="0"/>
        <v>45218</v>
      </c>
      <c r="X10" s="21">
        <f t="shared" si="0"/>
        <v>45219</v>
      </c>
      <c r="Y10" s="21">
        <f t="shared" si="0"/>
        <v>45220</v>
      </c>
      <c r="Z10" s="21">
        <f t="shared" si="0"/>
        <v>45221</v>
      </c>
      <c r="AA10" s="21">
        <f t="shared" si="0"/>
        <v>45222</v>
      </c>
      <c r="AB10" s="21">
        <f t="shared" si="0"/>
        <v>45223</v>
      </c>
      <c r="AC10" s="21">
        <f t="shared" si="0"/>
        <v>45224</v>
      </c>
      <c r="AD10" s="21">
        <f t="shared" si="0"/>
        <v>45225</v>
      </c>
      <c r="AE10" s="21">
        <f t="shared" si="0"/>
        <v>45226</v>
      </c>
      <c r="AF10" s="21">
        <f t="shared" si="0"/>
        <v>45227</v>
      </c>
      <c r="AG10" s="58">
        <f t="shared" si="0"/>
        <v>45228</v>
      </c>
      <c r="AH10" s="58">
        <f t="shared" si="0"/>
        <v>45229</v>
      </c>
      <c r="AI10" s="58">
        <f>AH10+1</f>
        <v>45230</v>
      </c>
      <c r="AJ10" s="46"/>
      <c r="AK10" s="47" t="s">
        <v>39</v>
      </c>
      <c r="AL10" s="47" t="s">
        <v>38</v>
      </c>
      <c r="AM10" s="48" t="s">
        <v>37</v>
      </c>
      <c r="AN10" s="49"/>
      <c r="AO10" s="50"/>
      <c r="AP10" s="100"/>
      <c r="AQ10" s="51"/>
      <c r="AR10" s="52"/>
      <c r="AS10" s="22"/>
      <c r="AU10" s="30"/>
      <c r="AV10" s="31" t="s">
        <v>21</v>
      </c>
      <c r="AW10" s="30"/>
      <c r="AX10" s="30"/>
      <c r="BA10" s="108"/>
      <c r="BB10" s="109"/>
      <c r="BC10" s="108"/>
      <c r="BD10" s="19" t="s">
        <v>35</v>
      </c>
      <c r="BE10" s="19" t="s">
        <v>36</v>
      </c>
      <c r="BF10" s="19" t="s">
        <v>35</v>
      </c>
      <c r="BG10" s="19" t="s">
        <v>36</v>
      </c>
      <c r="BH10" s="19" t="s">
        <v>35</v>
      </c>
      <c r="BI10" s="19" t="s">
        <v>36</v>
      </c>
      <c r="BJ10" s="20" t="s">
        <v>35</v>
      </c>
      <c r="BK10" s="20" t="s">
        <v>36</v>
      </c>
      <c r="BL10" s="20" t="s">
        <v>35</v>
      </c>
      <c r="BM10" s="20" t="s">
        <v>36</v>
      </c>
      <c r="BN10" s="19" t="s">
        <v>35</v>
      </c>
      <c r="BO10" s="19" t="s">
        <v>36</v>
      </c>
      <c r="BP10" s="19" t="s">
        <v>35</v>
      </c>
      <c r="BQ10" s="19" t="s">
        <v>36</v>
      </c>
      <c r="BR10" s="19" t="s">
        <v>35</v>
      </c>
      <c r="BS10" s="19" t="s">
        <v>36</v>
      </c>
      <c r="BT10" s="19" t="s">
        <v>35</v>
      </c>
      <c r="BU10" s="19" t="s">
        <v>36</v>
      </c>
      <c r="BV10" s="19" t="s">
        <v>35</v>
      </c>
      <c r="BW10" s="19" t="s">
        <v>36</v>
      </c>
      <c r="BX10" s="20" t="s">
        <v>35</v>
      </c>
      <c r="BY10" s="20" t="s">
        <v>36</v>
      </c>
      <c r="BZ10" s="20" t="s">
        <v>35</v>
      </c>
      <c r="CA10" s="20" t="s">
        <v>36</v>
      </c>
      <c r="CB10" s="19" t="s">
        <v>35</v>
      </c>
      <c r="CC10" s="19" t="s">
        <v>36</v>
      </c>
      <c r="CD10" s="19" t="s">
        <v>35</v>
      </c>
      <c r="CE10" s="19" t="s">
        <v>36</v>
      </c>
      <c r="CF10" s="19" t="s">
        <v>35</v>
      </c>
      <c r="CG10" s="19" t="s">
        <v>36</v>
      </c>
      <c r="CM10" s="108"/>
      <c r="CN10" s="109"/>
      <c r="CO10" s="108"/>
      <c r="CP10" s="19" t="s">
        <v>35</v>
      </c>
      <c r="CQ10" s="19" t="s">
        <v>36</v>
      </c>
      <c r="CR10" s="19" t="s">
        <v>35</v>
      </c>
      <c r="CS10" s="19" t="s">
        <v>36</v>
      </c>
      <c r="CT10" s="19" t="s">
        <v>35</v>
      </c>
      <c r="CU10" s="19" t="s">
        <v>36</v>
      </c>
      <c r="CV10" s="20" t="s">
        <v>35</v>
      </c>
      <c r="CW10" s="20" t="s">
        <v>36</v>
      </c>
      <c r="CX10" s="20" t="s">
        <v>35</v>
      </c>
      <c r="CY10" s="20" t="s">
        <v>36</v>
      </c>
      <c r="CZ10" s="19" t="s">
        <v>35</v>
      </c>
      <c r="DA10" s="19" t="s">
        <v>36</v>
      </c>
      <c r="DB10" s="19" t="s">
        <v>35</v>
      </c>
      <c r="DC10" s="19" t="s">
        <v>36</v>
      </c>
      <c r="DD10" s="19" t="s">
        <v>35</v>
      </c>
      <c r="DE10" s="19" t="s">
        <v>36</v>
      </c>
      <c r="DF10" s="19" t="s">
        <v>35</v>
      </c>
      <c r="DG10" s="19" t="s">
        <v>36</v>
      </c>
      <c r="DH10" s="19" t="s">
        <v>35</v>
      </c>
      <c r="DI10" s="19" t="s">
        <v>36</v>
      </c>
      <c r="DJ10" s="20" t="s">
        <v>35</v>
      </c>
      <c r="DK10" s="20" t="s">
        <v>36</v>
      </c>
      <c r="DL10" s="20" t="s">
        <v>35</v>
      </c>
      <c r="DM10" s="20" t="s">
        <v>36</v>
      </c>
      <c r="DN10" s="19" t="s">
        <v>35</v>
      </c>
      <c r="DO10" s="19" t="s">
        <v>36</v>
      </c>
      <c r="DP10" s="19" t="s">
        <v>35</v>
      </c>
      <c r="DQ10" s="19" t="s">
        <v>36</v>
      </c>
      <c r="DR10" s="19" t="s">
        <v>35</v>
      </c>
      <c r="DS10" s="19" t="s">
        <v>36</v>
      </c>
      <c r="DT10" s="19" t="s">
        <v>35</v>
      </c>
      <c r="DU10" s="19" t="s">
        <v>36</v>
      </c>
      <c r="DV10" s="39"/>
    </row>
    <row r="11" spans="1:126" ht="15" thickBot="1" x14ac:dyDescent="0.35">
      <c r="A11" s="11">
        <v>1</v>
      </c>
      <c r="B11" s="70" t="s">
        <v>25</v>
      </c>
      <c r="C11" s="71" t="s">
        <v>11</v>
      </c>
      <c r="D11" s="72">
        <v>0.75</v>
      </c>
      <c r="E11" s="73" t="s">
        <v>26</v>
      </c>
      <c r="F11" s="73">
        <v>7.7</v>
      </c>
      <c r="G11" s="73">
        <v>7.7</v>
      </c>
      <c r="H11" s="73">
        <v>7.7</v>
      </c>
      <c r="I11" s="73">
        <v>9</v>
      </c>
      <c r="J11" s="73">
        <v>7.7</v>
      </c>
      <c r="K11" s="73" t="s">
        <v>26</v>
      </c>
      <c r="L11" s="74">
        <v>16</v>
      </c>
      <c r="M11" s="75">
        <v>8</v>
      </c>
      <c r="N11" s="73">
        <v>7.7</v>
      </c>
      <c r="O11" s="73">
        <v>7.7</v>
      </c>
      <c r="P11" s="73">
        <v>7.7</v>
      </c>
      <c r="Q11" s="73">
        <v>7.7</v>
      </c>
      <c r="R11" s="73" t="s">
        <v>26</v>
      </c>
      <c r="S11" s="73" t="s">
        <v>26</v>
      </c>
      <c r="T11" s="73">
        <v>7.7</v>
      </c>
      <c r="U11" s="73">
        <v>7.7</v>
      </c>
      <c r="V11" s="73" t="s">
        <v>41</v>
      </c>
      <c r="W11" s="73">
        <v>7.7</v>
      </c>
      <c r="X11" s="73">
        <v>7.7</v>
      </c>
      <c r="Y11" s="73" t="s">
        <v>26</v>
      </c>
      <c r="Z11" s="73" t="s">
        <v>26</v>
      </c>
      <c r="AA11" s="73">
        <v>7.7</v>
      </c>
      <c r="AB11" s="73">
        <v>7.7</v>
      </c>
      <c r="AC11" s="73">
        <v>7.7</v>
      </c>
      <c r="AD11" s="73">
        <v>7.7</v>
      </c>
      <c r="AE11" s="73">
        <v>7.7</v>
      </c>
      <c r="AF11" s="73" t="s">
        <v>26</v>
      </c>
      <c r="AG11" s="73" t="s">
        <v>26</v>
      </c>
      <c r="AH11" s="73">
        <v>7.7</v>
      </c>
      <c r="AI11" s="73">
        <v>7.7</v>
      </c>
      <c r="AJ11" s="90">
        <f>COUNTIFS(E11:AI11,"&gt;0", E11:AI11,"&lt;&gt;"&amp;"")</f>
        <v>22</v>
      </c>
      <c r="AK11" s="91">
        <f>COUNTIF(E11:AI11, "ВП")</f>
        <v>0</v>
      </c>
      <c r="AL11" s="91">
        <f>COUNTIF(E11:AI11, "ВД")</f>
        <v>0</v>
      </c>
      <c r="AM11" s="91">
        <f>SumBoldNumbers(E11:AI11)</f>
        <v>8</v>
      </c>
      <c r="AN11" s="91">
        <f>SUM(CountWeekendDays(E10)+COUNTIF(E11:AI11,"С"))</f>
        <v>10</v>
      </c>
      <c r="AO11" s="92">
        <f>SUM(E11:AI11)</f>
        <v>179.29999999999995</v>
      </c>
      <c r="AP11" s="93">
        <f>(DAY(EOMONTH(E10, 0)) - AN11 - AK11) * AU11 * D11</f>
        <v>121.27500000000001</v>
      </c>
      <c r="AQ11" s="94">
        <f>AP11 - AO11</f>
        <v>-58.024999999999949</v>
      </c>
      <c r="AR11" s="101">
        <f>AQ11/(AJ11-(AM11/4))</f>
        <v>-2.9012499999999974</v>
      </c>
      <c r="AS11" s="22"/>
      <c r="AU11" s="31">
        <f>IF(C11="вихователь", 6, IF(C11="каштелян", 8, IF(C11="буфетниця", 8, IF(C11="молодша м/с", 8, IF(C11="сестр. госп.", 8, 7.7)))))</f>
        <v>7.7</v>
      </c>
      <c r="AV11" s="31" t="s">
        <v>22</v>
      </c>
      <c r="AW11" s="30"/>
      <c r="AX11" s="30"/>
      <c r="BA11" s="18">
        <f>A11</f>
        <v>1</v>
      </c>
      <c r="BB11" s="102" t="str">
        <f>B11</f>
        <v>Іващенко А.Д.</v>
      </c>
      <c r="BC11" s="103" t="str">
        <f>C11</f>
        <v>лікар-онколог</v>
      </c>
      <c r="BD11" s="104" t="str">
        <f>IF(ISNUMBER(E11), IF(IsBold(E11), TIME(0,0,0), TIME(8,0,0)), "")</f>
        <v/>
      </c>
      <c r="BE11" s="105" t="str">
        <f>IF(BD11=TIME(0,0,0), BD11 + (E11/24),
 IF(AND(E11&gt;6, E11&lt;10, BD11&gt;=TIME(8,0,0), BD11&lt;TIME(21,0,0)), BD11 + ((E11+0.5)/24),
 IF(AND(E11&gt;10, E11&lt;16.1, BD11&gt;=TIME(7,59,0), BD11&lt;TIME(16,0,0)), BD11 + (E11/24), "")))</f>
        <v/>
      </c>
      <c r="BF11" s="105">
        <f>IF(ISNUMBER(F11), IF(IsBold(F11), TIME(0,0,0), TIME(8,0,0)), "")</f>
        <v>0.33333333333333331</v>
      </c>
      <c r="BG11" s="105">
        <f>IF(BF11=TIME(0,0,0), BF11 + (F11/24),
 IF(AND(F11&gt;6, F11&lt;10, BF11&gt;=TIME(8,0,0), BF11&lt;TIME(21,0,0)), BF11 + ((F11+0.5)/24),
 IF(AND(F11&gt;10, F11&lt;16.1, BF11&gt;=TIME(7,59,0), BF11&lt;TIME(16,0,0)), BF11 + (F11/24), "")))</f>
        <v>0.67499999999999993</v>
      </c>
      <c r="BH11" s="105">
        <f>IF(ISNUMBER(G11), IF(IsBold(G11), TIME(0,0,0), TIME(8,0,0)), "")</f>
        <v>0.33333333333333331</v>
      </c>
      <c r="BI11" s="105">
        <f>IF(BH11=TIME(0,0,0), BH11 + (G11/24),
 IF(AND(G11&gt;6, G11&lt;10, BH11&gt;=TIME(8,0,0), BH11&lt;TIME(21,0,0)), BH11 + ((G11+0.5)/24),
 IF(AND(G11&gt;10, G11&lt;16.1, BH11&gt;=TIME(7,59,0), BH11&lt;TIME(16,0,0)), BH11 + (G11/24), "")))</f>
        <v>0.67499999999999993</v>
      </c>
      <c r="BJ11" s="105">
        <f>IF(ISNUMBER(H11), IF(IsBold(H11), TIME(0,0,0), TIME(8,0,0)), "")</f>
        <v>0.33333333333333331</v>
      </c>
      <c r="BK11" s="105">
        <f>IF(BJ11=TIME(0,0,0), BJ11 + (H11/24),
 IF(AND(H11&gt;6, H11&lt;10, BJ11&gt;=TIME(8,0,0), BJ11&lt;TIME(21,0,0)), BJ11 + ((H11+0.5)/24),
 IF(AND(H11&gt;10, H11&lt;16.1, BJ11&gt;=TIME(7,59,0), BJ11&lt;TIME(16,0,0)), BJ11 + (H11/24), "")))</f>
        <v>0.67499999999999993</v>
      </c>
      <c r="BL11" s="105">
        <f>IF(ISNUMBER(I11), IF(IsBold(I11), TIME(0,0,0), TIME(8,0,0)), "")</f>
        <v>0.33333333333333331</v>
      </c>
      <c r="BM11" s="105">
        <f>IF(BL11=TIME(0,0,0), BL11 + (I11/24),
 IF(AND(I11&gt;6, I11&lt;10, BL11&gt;=TIME(8,0,0), BL11&lt;TIME(21,0,0)), BL11 + ((I11+0.5)/24),
 IF(AND(I11&gt;10, I11&lt;16.1, BL11&gt;=TIME(7,59,0), BL11&lt;TIME(16,0,0)), BL11 + (I11/24), "")))</f>
        <v>0.72916666666666663</v>
      </c>
      <c r="BN11" s="105">
        <f>IF(ISNUMBER(J11), IF(IsBold(J11), TIME(0,0,0), TIME(8,0,0)), "")</f>
        <v>0.33333333333333331</v>
      </c>
      <c r="BO11" s="105">
        <f>IF(BN11=TIME(0,0,0), BN11 + (J11/24),
 IF(AND(J11&gt;6, J11&lt;10, BN11&gt;=TIME(8,0,0), BN11&lt;TIME(21,0,0)), BN11 + ((J11+0.5)/24),
 IF(AND(J11&gt;10, J11&lt;16.1, BN11&gt;=TIME(7,59,0), BN11&lt;TIME(16,0,0)), BN11 + (J11/24), "")))</f>
        <v>0.67499999999999993</v>
      </c>
      <c r="BP11" s="105" t="str">
        <f>IF(ISNUMBER(K11), IF(IsBold(K11), TIME(0,0,0), TIME(8,0,0)), "")</f>
        <v/>
      </c>
      <c r="BQ11" s="105" t="str">
        <f>IF(BP11=TIME(0,0,0), BP11 + (K11/24),
 IF(AND(K11&gt;6, K11&lt;10, BP11&gt;=TIME(8,0,0), BP11&lt;TIME(21,0,0)), BP11 + ((K11+0.5)/24),
 IF(AND(K11&gt;10, K11&lt;16.1, BP11&gt;=TIME(7,59,0), BP11&lt;TIME(16,0,0)), BP11 + (K11/24), "")))</f>
        <v/>
      </c>
      <c r="BR11" s="106">
        <f>IF(ISNUMBER(L11), IF(IsBold(L11), TIME(0,0,0), TIME(8,0,0)), "")</f>
        <v>0.33333333333333331</v>
      </c>
      <c r="BS11" s="105">
        <f>IF(BR11=TIME(0,0,0), BR11 + (L11/24),
 IF(AND(L11&gt;6, L11&lt;10, BR11&gt;=TIME(8,0,0), BR11&lt;TIME(21,0,0)), BR11 + ((L11+0.5)/24),
 IF(AND(L11&gt;10, L11&lt;16.1, BR11&gt;=TIME(7,59,0), BR11&lt;TIME(16,0,0)), BR11 + (L11/24), "")))</f>
        <v>1</v>
      </c>
      <c r="BT11" s="106">
        <f>IF(ISNUMBER(M11), IF(IsBold(M11), TIME(0,0,0), TIME(8,0,0)), "")</f>
        <v>0</v>
      </c>
      <c r="BU11" s="105">
        <f>IF(BT11=TIME(0,0,0), BT11 + (M11/24),
 IF(AND(M11&gt;6, M11&lt;10, BT11&gt;=TIME(8,0,0), BT11&lt;TIME(21,0,0)), BT11 + ((M11+0.5)/24),
 IF(AND(M11&gt;10, M11&lt;16.1, BT11&gt;=TIME(7,59,0), BT11&lt;TIME(16,0,0)), BT11 + (M11/24), "")))</f>
        <v>0.33333333333333331</v>
      </c>
      <c r="BV11" s="105">
        <f>IF(ISNUMBER(N11), IF(IsBold(N11), TIME(0,0,0), TIME(8,0,0)), "")</f>
        <v>0.33333333333333331</v>
      </c>
      <c r="BW11" s="105">
        <f>IF(BV11=TIME(0,0,0), BV11 + (N11/24),
 IF(AND(N11&gt;6, N11&lt;10, BV11&gt;=TIME(8,0,0), BV11&lt;TIME(21,0,0)), BV11 + ((N11+0.5)/24),
 IF(AND(N11&gt;10, N11&lt;16.1, BV11&gt;=TIME(7,59,0), BV11&lt;TIME(16,0,0)), BV11 + (N11/24), "")))</f>
        <v>0.67499999999999993</v>
      </c>
      <c r="BX11" s="105">
        <f>IF(ISNUMBER(O11), IF(IsBold(O11), TIME(0,0,0), TIME(8,0,0)), "")</f>
        <v>0.33333333333333331</v>
      </c>
      <c r="BY11" s="105">
        <f>IF(BX11=TIME(0,0,0), BX11 + (O11/24),
 IF(AND(O11&gt;6, O11&lt;10, BX11&gt;=TIME(8,0,0), BX11&lt;TIME(21,0,0)), BX11 + ((O11+0.5)/24),
 IF(AND(O11&gt;10, O11&lt;16.1, BX11&gt;=TIME(7,59,0), BX11&lt;TIME(16,0,0)), BX11 + (O11/24), "")))</f>
        <v>0.67499999999999993</v>
      </c>
      <c r="BZ11" s="105">
        <f>IF(ISNUMBER(P11), IF(IsBold(P11), TIME(0,0,0), TIME(8,0,0)), "")</f>
        <v>0.33333333333333331</v>
      </c>
      <c r="CA11" s="105">
        <f>IF(BZ11=TIME(0,0,0), BZ11 + (P11/24),
 IF(AND(P11&gt;6, P11&lt;10, BZ11&gt;=TIME(8,0,0), BZ11&lt;TIME(21,0,0)), BZ11 + ((P11+0.5)/24),
 IF(AND(P11&gt;10, P11&lt;16.1, BZ11&gt;=TIME(7,59,0), BZ11&lt;TIME(16,0,0)), BZ11 + (P11/24), "")))</f>
        <v>0.67499999999999993</v>
      </c>
      <c r="CB11" s="105">
        <f>IF(ISNUMBER(Q11), IF(IsBold(Q11), TIME(0,0,0), TIME(8,0,0)), "")</f>
        <v>0.33333333333333331</v>
      </c>
      <c r="CC11" s="105">
        <f>IF(CB11=TIME(0,0,0), CB11 + (Q11/24),
 IF(AND(Q11&gt;6, Q11&lt;10, CB11&gt;=TIME(8,0,0), CB11&lt;TIME(21,0,0)), CB11 + ((Q11+0.5)/24),
 IF(AND(Q11&gt;10, Q11&lt;16.1, CB11&gt;=TIME(7,59,0), CB11&lt;TIME(16,0,0)), CB11 + (Q11/24), "")))</f>
        <v>0.67499999999999993</v>
      </c>
      <c r="CD11" s="105" t="str">
        <f>IF(ISNUMBER(R11), IF(IsBold(R11), TIME(0,0,0), TIME(8,0,0)), "")</f>
        <v/>
      </c>
      <c r="CE11" s="105" t="str">
        <f>IF(CD11=TIME(0,0,0), CD11 + (R11/24),
 IF(AND(R11&gt;6, R11&lt;10, CD11&gt;=TIME(8,0,0), CD11&lt;TIME(21,0,0)), CD11 + ((R11+0.5)/24),
 IF(AND(R11&gt;10, R11&lt;16.1, CD11&gt;=TIME(7,59,0), CD11&lt;TIME(16,0,0)), CD11 + (R11/24), "")))</f>
        <v/>
      </c>
      <c r="CF11" s="105" t="str">
        <f>IF(ISNUMBER(S11), IF(IsBold(S11), TIME(0,0,0), TIME(8,0,0)), "")</f>
        <v/>
      </c>
      <c r="CG11" s="105" t="str">
        <f>IF(CF11=TIME(0,0,0), CF11 + (S11/24),
 IF(AND(S11&gt;6, S11&lt;10, CF11&gt;=TIME(8,0,0), CF11&lt;TIME(21,0,0)), CF11 + ((S11+0.5)/24),
 IF(AND(S11&gt;10, S11&lt;16.1, CF11&gt;=TIME(7,59,0), CF11&lt;TIME(16,0,0)), CF11 + (S11/24), "")))</f>
        <v/>
      </c>
      <c r="CM11" s="18">
        <f>A11</f>
        <v>1</v>
      </c>
      <c r="CN11" s="107" t="str">
        <f>B11</f>
        <v>Іващенко А.Д.</v>
      </c>
      <c r="CO11" s="103" t="str">
        <f>C11</f>
        <v>лікар-онколог</v>
      </c>
      <c r="CP11" s="104">
        <f>IF(ISNUMBER(T11), IF(IsBold(T11), TIME(0,0,0), TIME(8,0,0)), "")</f>
        <v>0.33333333333333331</v>
      </c>
      <c r="CQ11" s="105">
        <f>IF(CP11=TIME(0,0,0), CP11 + (T11/24),
 IF(AND(T11&gt;6, T11&lt;10, CP11&gt;=TIME(8,0,0), CP11&lt;TIME(21,0,0)), CP11 + ((T11+0.5)/24),
 IF(AND(T11&gt;10, T11&lt;16.1, CP11&gt;=TIME(7,59,0), CP11&lt;TIME(16,0,0)), CP11 + (T11/24), "")))</f>
        <v>0.67499999999999993</v>
      </c>
      <c r="CR11" s="104">
        <f>IF(ISNUMBER(U11), IF(IsBold(U11), TIME(0,0,0), TIME(8,0,0)), "")</f>
        <v>0.33333333333333331</v>
      </c>
      <c r="CS11" s="105">
        <f>IF(CR11=TIME(0,0,0), CR11 + (U11/24),
 IF(AND(U11&gt;6, U11&lt;10, CR11&gt;=TIME(8,0,0), CR11&lt;TIME(21,0,0)), CR11 + ((U11+0.5)/24),
 IF(AND(U11&gt;10, U11&lt;16.1, CR11&gt;=TIME(7,59,0), CR11&lt;TIME(16,0,0)), CR11 + (U11/24), "")))</f>
        <v>0.67499999999999993</v>
      </c>
      <c r="CT11" s="105" t="str">
        <f>IF(ISNUMBER(V11), IF(IsBold(V11), TIME(0,0,0), TIME(8,0,0)), "")</f>
        <v/>
      </c>
      <c r="CU11" s="105" t="str">
        <f>IF(CT11=TIME(0,0,0), CT11 + (V11/24),
 IF(AND(V11&gt;6, V11&lt;10, CT11&gt;=TIME(8,0,0), CT11&lt;TIME(21,0,0)), CT11 + ((V11+0.5)/24),
 IF(AND(V11&gt;10, V11&lt;16.1, CT11&gt;=TIME(7,59,0), CT11&lt;TIME(16,0,0)), CT11 + (V11/24), "")))</f>
        <v/>
      </c>
      <c r="CV11" s="105">
        <f>IF(ISNUMBER(W11), IF(IsBold(W11), TIME(0,0,0), TIME(8,0,0)), "")</f>
        <v>0.33333333333333331</v>
      </c>
      <c r="CW11" s="105">
        <f>IF(CV11=TIME(0,0,0), CV11 + (W11/24),
 IF(AND(W11&gt;6, W11&lt;10, CV11&gt;=TIME(8,0,0), CV11&lt;TIME(21,0,0)), CV11 + ((W11+0.5)/24),
 IF(AND(W11&gt;10, W11&lt;16.1, CV11&gt;=TIME(7,59,0), CV11&lt;TIME(16,0,0)), CV11 + (W11/24), "")))</f>
        <v>0.67499999999999993</v>
      </c>
      <c r="CX11" s="105">
        <f>IF(ISNUMBER(X11), IF(IsBold(X11), TIME(0,0,0), TIME(8,0,0)), "")</f>
        <v>0.33333333333333331</v>
      </c>
      <c r="CY11" s="105">
        <f>IF(CX11=TIME(0,0,0), CX11 + (X11/24),
 IF(AND(X11&gt;6, X11&lt;10, CX11&gt;=TIME(8,0,0), CX11&lt;TIME(21,0,0)), CX11 + ((X11+0.5)/24),
 IF(AND(X11&gt;10, X11&lt;16.1, CX11&gt;=TIME(7,59,0), CX11&lt;TIME(16,0,0)), CX11 + (X11/24), "")))</f>
        <v>0.67499999999999993</v>
      </c>
      <c r="CZ11" s="105" t="str">
        <f>IF(ISNUMBER(Y11), IF(IsBold(Y11), TIME(0,0,0), TIME(8,0,0)), "")</f>
        <v/>
      </c>
      <c r="DA11" s="105" t="str">
        <f>IF(CZ11=TIME(0,0,0), CZ11 + (Y11/24),
 IF(AND(Y11&gt;6, Y11&lt;10, CZ11&gt;=TIME(8,0,0), CZ11&lt;TIME(21,0,0)), CZ11 + ((Y11+0.5)/24),
 IF(AND(Y11&gt;10, Y11&lt;16.1, CZ11&gt;=TIME(7,59,0), CZ11&lt;TIME(16,0,0)), CZ11 + (Y11/24), "")))</f>
        <v/>
      </c>
      <c r="DB11" s="105" t="str">
        <f>IF(ISNUMBER(Z11), IF(IsBold(Z11), TIME(0,0,0), TIME(8,0,0)), "")</f>
        <v/>
      </c>
      <c r="DC11" s="105" t="str">
        <f>IF(DB11=TIME(0,0,0), DB11 + (Z11/24),
 IF(AND(Z11&gt;6, Z11&lt;10, DB11&gt;=TIME(8,0,0), DB11&lt;TIME(21,0,0)), DB11 + ((Z11+0.5)/24),
 IF(AND(Z11&gt;10, Z11&lt;16.1, DB11&gt;=TIME(7,59,0), DB11&lt;TIME(16,0,0)), DB11 + (Z11/24), "")))</f>
        <v/>
      </c>
      <c r="DD11" s="106">
        <f>IF(ISNUMBER(AA11), IF(IsBold(AA11), TIME(0,0,0), TIME(8,0,0)), "")</f>
        <v>0.33333333333333331</v>
      </c>
      <c r="DE11" s="105">
        <f>IF(DD11=TIME(0,0,0), DD11 + (AA11/24),
 IF(AND(AA11&gt;6, AA11&lt;10, DD11&gt;=TIME(8,0,0), DD11&lt;TIME(21,0,0)), DD11 + ((AA11+0.5)/24),
 IF(AND(AA11&gt;10, AA11&lt;16.1, DD11&gt;=TIME(7,59,0), DD11&lt;TIME(16,0,0)), DD11 + (AA11/24), "")))</f>
        <v>0.67499999999999993</v>
      </c>
      <c r="DF11" s="106">
        <f>IF(ISNUMBER(AB11), IF(IsBold(AB11), TIME(0,0,0), TIME(8,0,0)), "")</f>
        <v>0.33333333333333331</v>
      </c>
      <c r="DG11" s="105">
        <f>IF(DF11=TIME(0,0,0), DF11 + (AB11/24),
 IF(AND(AB11&gt;6, AB11&lt;10, DF11&gt;=TIME(8,0,0), DF11&lt;TIME(21,0,0)), DF11 + ((AB11+0.5)/24),
 IF(AND(AB11&gt;10, AB11&lt;16.1, DF11&gt;=TIME(7,59,0), DF11&lt;TIME(16,0,0)), DF11 + (AB11/24), "")))</f>
        <v>0.67499999999999993</v>
      </c>
      <c r="DH11" s="105">
        <f>IF(ISNUMBER(AC11), IF(IsBold(AC11), TIME(0,0,0), TIME(8,0,0)), "")</f>
        <v>0.33333333333333331</v>
      </c>
      <c r="DI11" s="105">
        <f>IF(DH11=TIME(0,0,0), DH11 + (AC11/24),
 IF(AND(AC11&gt;6, AC11&lt;10, DH11&gt;=TIME(8,0,0), DH11&lt;TIME(21,0,0)), DH11 + ((AC11+0.5)/24),
 IF(AND(AC11&gt;10, AC11&lt;16.1, DH11&gt;=TIME(7,59,0), DH11&lt;TIME(16,0,0)), DH11 + (AC11/24), "")))</f>
        <v>0.67499999999999993</v>
      </c>
      <c r="DJ11" s="105">
        <f>IF(ISNUMBER(AD11), IF(IsBold(AD11), TIME(0,0,0), TIME(8,0,0)), "")</f>
        <v>0.33333333333333331</v>
      </c>
      <c r="DK11" s="105">
        <f>IF(DJ11=TIME(0,0,0), DJ11 + (AD11/24),
 IF(AND(AD11&gt;6, AD11&lt;10, DJ11&gt;=TIME(8,0,0), DJ11&lt;TIME(21,0,0)), DJ11 + ((AD11+0.5)/24),
 IF(AND(AD11&gt;10, AD11&lt;16.1, DJ11&gt;=TIME(7,59,0), DJ11&lt;TIME(16,0,0)), DJ11 + (AD11/24), "")))</f>
        <v>0.67499999999999993</v>
      </c>
      <c r="DL11" s="105">
        <f>IF(ISNUMBER(AE11), IF(IsBold(AE11), TIME(0,0,0), TIME(8,0,0)), "")</f>
        <v>0.33333333333333331</v>
      </c>
      <c r="DM11" s="105">
        <f>IF(DL11=TIME(0,0,0), DL11 + (AE11/24),
 IF(AND(AE11&gt;6, AE11&lt;10, DL11&gt;=TIME(8,0,0), DL11&lt;TIME(21,0,0)), DL11 + ((AE11+0.5)/24),
 IF(AND(AE11&gt;10, AE11&lt;16.1, DL11&gt;=TIME(7,59,0), DL11&lt;TIME(16,0,0)), DL11 + (AE11/24), "")))</f>
        <v>0.67499999999999993</v>
      </c>
      <c r="DN11" s="105" t="str">
        <f>IF(ISNUMBER(AF11), IF(IsBold(AF11), TIME(0,0,0), TIME(8,0,0)), "")</f>
        <v/>
      </c>
      <c r="DO11" s="105" t="str">
        <f>IF(DN11=TIME(0,0,0), DN11 + (AF11/24),
 IF(AND(AF11&gt;6, AF11&lt;10, DN11&gt;=TIME(8,0,0), DN11&lt;TIME(21,0,0)), DN11 + ((AF11+0.5)/24),
 IF(AND(AF11&gt;10, AF11&lt;16.1, DN11&gt;=TIME(7,59,0), DN11&lt;TIME(16,0,0)), DN11 + (AF11/24), "")))</f>
        <v/>
      </c>
      <c r="DP11" s="105" t="str">
        <f>IF(ISNUMBER(AG11), IF(IsBold(AG11), TIME(0,0,0), TIME(8,0,0)), "")</f>
        <v/>
      </c>
      <c r="DQ11" s="105" t="str">
        <f>IF(DP11=TIME(0,0,0), DP11 + (AG11/24),
 IF(AND(AG11&gt;6, AG11&lt;10, DP11&gt;=TIME(8,0,0), DP11&lt;TIME(21,0,0)), DP11 + ((AG11+0.5)/24),
 IF(AND(AG11&gt;10, AG11&lt;16.1, DP11&gt;=TIME(7,59,0), DP11&lt;TIME(16,0,0)), DP11 + (AG11/24), "")))</f>
        <v/>
      </c>
      <c r="DR11" s="105">
        <f>IF(ISNUMBER(AH11), IF(IsBold(AH11), TIME(0,0,0), TIME(8,0,0)), "")</f>
        <v>0.33333333333333331</v>
      </c>
      <c r="DS11" s="105">
        <f>IF(DR11=TIME(0,0,0), DR11 + (AH11/24),
 IF(AND(AH11&gt;6, AH11&lt;10, DR11&gt;=TIME(8,0,0), DR11&lt;TIME(21,0,0)), DR11 + ((AH11+0.5)/24),
 IF(AND(AH11&gt;10, AH11&lt;16.1, DR11&gt;=TIME(7,59,0), DR11&lt;TIME(16,0,0)), DR11 + (AH11/24), "")))</f>
        <v>0.67499999999999993</v>
      </c>
      <c r="DT11" s="105">
        <f>IF(ISNUMBER(AI11), IF(IsBold(AI11), TIME(0,0,0), TIME(8,0,0)), "")</f>
        <v>0.33333333333333331</v>
      </c>
      <c r="DU11" s="105">
        <f>IF(DT11=TIME(0,0,0), DT11 + (AI11/24),
 IF(AND(AI11&gt;6, AI11&lt;10, DT11&gt;=TIME(8,0,0), DT11&lt;TIME(21,0,0)), DT11 + ((AI11+0.5)/24),
 IF(AND(AI11&gt;10, AI11&lt;16.1, DT11&gt;=TIME(7,59,0), DT11&lt;TIME(16,0,0)), DT11 + (AI11/24), "")))</f>
        <v>0.67499999999999993</v>
      </c>
      <c r="DV11" s="110">
        <f>AO11</f>
        <v>179.29999999999995</v>
      </c>
    </row>
    <row r="12" spans="1:126" ht="15" thickBot="1" x14ac:dyDescent="0.35">
      <c r="A12" s="12">
        <v>2</v>
      </c>
      <c r="B12" s="76" t="s">
        <v>28</v>
      </c>
      <c r="C12" s="71" t="s">
        <v>32</v>
      </c>
      <c r="D12" s="72">
        <v>1</v>
      </c>
      <c r="E12" s="73" t="s">
        <v>26</v>
      </c>
      <c r="F12" s="73">
        <v>8</v>
      </c>
      <c r="G12" s="73">
        <v>8</v>
      </c>
      <c r="H12" s="73">
        <v>8</v>
      </c>
      <c r="I12" s="73">
        <v>8</v>
      </c>
      <c r="J12" s="73">
        <v>8</v>
      </c>
      <c r="K12" s="73" t="s">
        <v>26</v>
      </c>
      <c r="L12" s="73" t="s">
        <v>26</v>
      </c>
      <c r="M12" s="73">
        <v>8</v>
      </c>
      <c r="N12" s="73">
        <v>8</v>
      </c>
      <c r="O12" s="73">
        <v>8</v>
      </c>
      <c r="P12" s="73">
        <v>8</v>
      </c>
      <c r="Q12" s="73">
        <v>8</v>
      </c>
      <c r="R12" s="73" t="s">
        <v>26</v>
      </c>
      <c r="S12" s="73" t="s">
        <v>26</v>
      </c>
      <c r="T12" s="73">
        <v>8</v>
      </c>
      <c r="U12" s="73">
        <v>8</v>
      </c>
      <c r="V12" s="73" t="s">
        <v>41</v>
      </c>
      <c r="W12" s="73">
        <v>8</v>
      </c>
      <c r="X12" s="73">
        <v>8</v>
      </c>
      <c r="Y12" s="73" t="s">
        <v>26</v>
      </c>
      <c r="Z12" s="73" t="s">
        <v>26</v>
      </c>
      <c r="AA12" s="73">
        <v>8</v>
      </c>
      <c r="AB12" s="73">
        <v>8</v>
      </c>
      <c r="AC12" s="73">
        <v>8</v>
      </c>
      <c r="AD12" s="73">
        <v>8</v>
      </c>
      <c r="AE12" s="73">
        <v>8</v>
      </c>
      <c r="AF12" s="73" t="s">
        <v>26</v>
      </c>
      <c r="AG12" s="73" t="s">
        <v>26</v>
      </c>
      <c r="AH12" s="73" t="s">
        <v>27</v>
      </c>
      <c r="AI12" s="73" t="s">
        <v>27</v>
      </c>
      <c r="AJ12" s="90">
        <f>COUNTIFS(E12:AI12,"&gt;0", E12:AI12,"&lt;&gt;"&amp;"")</f>
        <v>19</v>
      </c>
      <c r="AK12" s="91">
        <f>COUNTIF(E12:AI12, "ВП")</f>
        <v>2</v>
      </c>
      <c r="AL12" s="95">
        <f>COUNTIF(E12:AI12, "ВД")</f>
        <v>0</v>
      </c>
      <c r="AM12" s="91">
        <f>SumBoldNumbers(E12:AI12)</f>
        <v>0</v>
      </c>
      <c r="AN12" s="91">
        <f>SUM(CountWeekendDays(E10)+COUNTIF(E12:AI12,"С"))</f>
        <v>10</v>
      </c>
      <c r="AO12" s="96">
        <f>SUM(E12:AI12)</f>
        <v>152</v>
      </c>
      <c r="AP12" s="93">
        <f>(DAY(EOMONTH(E10, 0)) - AN12 - AK12) * AU12  * D12</f>
        <v>152</v>
      </c>
      <c r="AQ12" s="94">
        <f t="shared" ref="AQ12:AQ14" si="1">AP12 - AO12</f>
        <v>0</v>
      </c>
      <c r="AR12" s="101">
        <f>AQ12/(AJ12-(AM12/4))</f>
        <v>0</v>
      </c>
      <c r="AS12" s="22"/>
      <c r="AU12" s="31">
        <f>IF(C12="вихователь", 6, IF(C12="каштелян", 8, IF(C12="буфетниця", 8, IF(C12="молодша м/с", 8, IF(C12="сестр. госп.", 8, 7.7)))))</f>
        <v>8</v>
      </c>
      <c r="AV12" s="31" t="s">
        <v>12</v>
      </c>
      <c r="AW12" s="30"/>
      <c r="AX12" s="30"/>
      <c r="BA12" s="18">
        <f>A12</f>
        <v>2</v>
      </c>
      <c r="BB12" s="102" t="str">
        <f>B12</f>
        <v>Петрик П.М.</v>
      </c>
      <c r="BC12" s="103" t="str">
        <f>C12</f>
        <v>каштелян</v>
      </c>
      <c r="BD12" s="104" t="str">
        <f>IF(ISNUMBER(E12), IF(IsBold(E12), TIME(0,0,0), TIME(8,0,0)), "")</f>
        <v/>
      </c>
      <c r="BE12" s="105" t="str">
        <f>IF(BD12=TIME(0,0,0), BD12 + (E12/24),
 IF(AND(E12&gt;6, E12&lt;10, BD12&gt;=TIME(8,0,0), BD12&lt;TIME(21,0,0)), BD12 + ((E12+0.5)/24),
 IF(AND(E12&gt;10, E12&lt;16.1, BD12&gt;=TIME(7,59,0), BD12&lt;TIME(16,0,0)), BD12 + (E12/24), "")))</f>
        <v/>
      </c>
      <c r="BF12" s="105">
        <f>IF(ISNUMBER(F12), IF(IsBold(F12), TIME(0,0,0), TIME(8,0,0)), "")</f>
        <v>0.33333333333333331</v>
      </c>
      <c r="BG12" s="105">
        <f>IF(BF12=TIME(0,0,0), BF12 + (F12/24),
 IF(AND(F12&gt;6, F12&lt;10, BF12&gt;=TIME(8,0,0), BF12&lt;TIME(21,0,0)), BF12 + ((F12+0.5)/24),
 IF(AND(F12&gt;10, F12&lt;16.1, BF12&gt;=TIME(7,59,0), BF12&lt;TIME(16,0,0)), BF12 + (F12/24), "")))</f>
        <v>0.6875</v>
      </c>
      <c r="BH12" s="105">
        <f>IF(ISNUMBER(G12), IF(IsBold(G12), TIME(0,0,0), TIME(8,0,0)), "")</f>
        <v>0.33333333333333331</v>
      </c>
      <c r="BI12" s="105">
        <f>IF(BH12=TIME(0,0,0), BH12 + (G12/24),
 IF(AND(G12&gt;6, G12&lt;10, BH12&gt;=TIME(8,0,0), BH12&lt;TIME(21,0,0)), BH12 + ((G12+0.5)/24),
 IF(AND(G12&gt;10, G12&lt;16.1, BH12&gt;=TIME(7,59,0), BH12&lt;TIME(16,0,0)), BH12 + (G12/24), "")))</f>
        <v>0.6875</v>
      </c>
      <c r="BJ12" s="105">
        <f>IF(ISNUMBER(H12), IF(IsBold(H12), TIME(0,0,0), TIME(8,0,0)), "")</f>
        <v>0.33333333333333331</v>
      </c>
      <c r="BK12" s="105">
        <f>IF(BJ12=TIME(0,0,0), BJ12 + (H12/24),
 IF(AND(H12&gt;6, H12&lt;10, BJ12&gt;=TIME(8,0,0), BJ12&lt;TIME(21,0,0)), BJ12 + ((H12+0.5)/24),
 IF(AND(H12&gt;10, H12&lt;16.1, BJ12&gt;=TIME(7,59,0), BJ12&lt;TIME(16,0,0)), BJ12 + (H12/24), "")))</f>
        <v>0.6875</v>
      </c>
      <c r="BL12" s="105">
        <f>IF(ISNUMBER(I12), IF(IsBold(I12), TIME(0,0,0), TIME(8,0,0)), "")</f>
        <v>0.33333333333333331</v>
      </c>
      <c r="BM12" s="105">
        <f>IF(BL12=TIME(0,0,0), BL12 + (I12/24),
 IF(AND(I12&gt;6, I12&lt;10, BL12&gt;=TIME(8,0,0), BL12&lt;TIME(21,0,0)), BL12 + ((I12+0.5)/24),
 IF(AND(I12&gt;10, I12&lt;16.1, BL12&gt;=TIME(7,59,0), BL12&lt;TIME(16,0,0)), BL12 + (I12/24), "")))</f>
        <v>0.6875</v>
      </c>
      <c r="BN12" s="105">
        <f>IF(ISNUMBER(J12), IF(IsBold(J12), TIME(0,0,0), TIME(8,0,0)), "")</f>
        <v>0.33333333333333331</v>
      </c>
      <c r="BO12" s="105">
        <f>IF(BN12=TIME(0,0,0), BN12 + (J12/24),
 IF(AND(J12&gt;6, J12&lt;10, BN12&gt;=TIME(8,0,0), BN12&lt;TIME(21,0,0)), BN12 + ((J12+0.5)/24),
 IF(AND(J12&gt;10, J12&lt;16.1, BN12&gt;=TIME(7,59,0), BN12&lt;TIME(16,0,0)), BN12 + (J12/24), "")))</f>
        <v>0.6875</v>
      </c>
      <c r="BP12" s="105" t="str">
        <f>IF(ISNUMBER(K12), IF(IsBold(K12), TIME(0,0,0), TIME(8,0,0)), "")</f>
        <v/>
      </c>
      <c r="BQ12" s="105" t="str">
        <f>IF(BP12=TIME(0,0,0), BP12 + (K12/24),
 IF(AND(K12&gt;6, K12&lt;10, BP12&gt;=TIME(8,0,0), BP12&lt;TIME(21,0,0)), BP12 + ((K12+0.5)/24),
 IF(AND(K12&gt;10, K12&lt;16.1, BP12&gt;=TIME(7,59,0), BP12&lt;TIME(16,0,0)), BP12 + (K12/24), "")))</f>
        <v/>
      </c>
      <c r="BR12" s="106" t="str">
        <f>IF(ISNUMBER(L12), IF(IsBold(L12), TIME(0,0,0), TIME(8,0,0)), "")</f>
        <v/>
      </c>
      <c r="BS12" s="105" t="str">
        <f>IF(BR12=TIME(0,0,0), BR12 + (L12/24),
 IF(AND(L12&gt;6, L12&lt;10, BR12&gt;=TIME(8,0,0), BR12&lt;TIME(21,0,0)), BR12 + ((L12+0.5)/24),
 IF(AND(L12&gt;10, L12&lt;16.1, BR12&gt;=TIME(7,59,0), BR12&lt;TIME(16,0,0)), BR12 + (L12/24), "")))</f>
        <v/>
      </c>
      <c r="BT12" s="106">
        <f>IF(ISNUMBER(M12), IF(IsBold(M12), TIME(0,0,0), TIME(8,0,0)), "")</f>
        <v>0.33333333333333331</v>
      </c>
      <c r="BU12" s="105">
        <f>IF(BT12=TIME(0,0,0), BT12 + (M12/24),
 IF(AND(M12&gt;6, M12&lt;10, BT12&gt;=TIME(8,0,0), BT12&lt;TIME(21,0,0)), BT12 + ((M12+0.5)/24),
 IF(AND(M12&gt;10, M12&lt;16.1, BT12&gt;=TIME(7,59,0), BT12&lt;TIME(16,0,0)), BT12 + (M12/24), "")))</f>
        <v>0.6875</v>
      </c>
      <c r="BV12" s="105">
        <f>IF(ISNUMBER(N12), IF(IsBold(N12), TIME(0,0,0), TIME(8,0,0)), "")</f>
        <v>0.33333333333333331</v>
      </c>
      <c r="BW12" s="105">
        <f>IF(BV12=TIME(0,0,0), BV12 + (N12/24),
 IF(AND(N12&gt;6, N12&lt;10, BV12&gt;=TIME(8,0,0), BV12&lt;TIME(21,0,0)), BV12 + ((N12+0.5)/24),
 IF(AND(N12&gt;10, N12&lt;16.1, BV12&gt;=TIME(7,59,0), BV12&lt;TIME(16,0,0)), BV12 + (N12/24), "")))</f>
        <v>0.6875</v>
      </c>
      <c r="BX12" s="105">
        <f>IF(ISNUMBER(O12), IF(IsBold(O12), TIME(0,0,0), TIME(8,0,0)), "")</f>
        <v>0.33333333333333331</v>
      </c>
      <c r="BY12" s="105">
        <f>IF(BX12=TIME(0,0,0), BX12 + (O12/24),
 IF(AND(O12&gt;6, O12&lt;10, BX12&gt;=TIME(8,0,0), BX12&lt;TIME(21,0,0)), BX12 + ((O12+0.5)/24),
 IF(AND(O12&gt;10, O12&lt;16.1, BX12&gt;=TIME(7,59,0), BX12&lt;TIME(16,0,0)), BX12 + (O12/24), "")))</f>
        <v>0.6875</v>
      </c>
      <c r="BZ12" s="105">
        <f>IF(ISNUMBER(P12), IF(IsBold(P12), TIME(0,0,0), TIME(8,0,0)), "")</f>
        <v>0.33333333333333331</v>
      </c>
      <c r="CA12" s="105">
        <f>IF(BZ12=TIME(0,0,0), BZ12 + (P12/24),
 IF(AND(P12&gt;6, P12&lt;10, BZ12&gt;=TIME(8,0,0), BZ12&lt;TIME(21,0,0)), BZ12 + ((P12+0.5)/24),
 IF(AND(P12&gt;10, P12&lt;16.1, BZ12&gt;=TIME(7,59,0), BZ12&lt;TIME(16,0,0)), BZ12 + (P12/24), "")))</f>
        <v>0.6875</v>
      </c>
      <c r="CB12" s="105">
        <f>IF(ISNUMBER(Q12), IF(IsBold(Q12), TIME(0,0,0), TIME(8,0,0)), "")</f>
        <v>0.33333333333333331</v>
      </c>
      <c r="CC12" s="105">
        <f>IF(CB12=TIME(0,0,0), CB12 + (Q12/24),
 IF(AND(Q12&gt;6, Q12&lt;10, CB12&gt;=TIME(8,0,0), CB12&lt;TIME(21,0,0)), CB12 + ((Q12+0.5)/24),
 IF(AND(Q12&gt;10, Q12&lt;16.1, CB12&gt;=TIME(7,59,0), CB12&lt;TIME(16,0,0)), CB12 + (Q12/24), "")))</f>
        <v>0.6875</v>
      </c>
      <c r="CD12" s="105" t="str">
        <f>IF(ISNUMBER(R12), IF(IsBold(R12), TIME(0,0,0), TIME(8,0,0)), "")</f>
        <v/>
      </c>
      <c r="CE12" s="105" t="str">
        <f>IF(CD12=TIME(0,0,0), CD12 + (R12/24),
 IF(AND(R12&gt;6, R12&lt;10, CD12&gt;=TIME(8,0,0), CD12&lt;TIME(21,0,0)), CD12 + ((R12+0.5)/24),
 IF(AND(R12&gt;10, R12&lt;16.1, CD12&gt;=TIME(7,59,0), CD12&lt;TIME(16,0,0)), CD12 + (R12/24), "")))</f>
        <v/>
      </c>
      <c r="CF12" s="105" t="str">
        <f>IF(ISNUMBER(S12), IF(IsBold(S12), TIME(0,0,0), TIME(8,0,0)), "")</f>
        <v/>
      </c>
      <c r="CG12" s="105" t="str">
        <f>IF(CF12=TIME(0,0,0), CF12 + (S12/24),
 IF(AND(S12&gt;6, S12&lt;10, CF12&gt;=TIME(8,0,0), CF12&lt;TIME(21,0,0)), CF12 + ((S12+0.5)/24),
 IF(AND(S12&gt;10, S12&lt;16.1, CF12&gt;=TIME(7,59,0), CF12&lt;TIME(16,0,0)), CF12 + (S12/24), "")))</f>
        <v/>
      </c>
      <c r="CM12" s="18">
        <f>A12</f>
        <v>2</v>
      </c>
      <c r="CN12" s="107" t="str">
        <f>B12</f>
        <v>Петрик П.М.</v>
      </c>
      <c r="CO12" s="103" t="str">
        <f>C12</f>
        <v>каштелян</v>
      </c>
      <c r="CP12" s="104">
        <f>IF(ISNUMBER(T12), IF(IsBold(T12), TIME(0,0,0), TIME(8,0,0)), "")</f>
        <v>0.33333333333333331</v>
      </c>
      <c r="CQ12" s="105">
        <f>IF(CP12=TIME(0,0,0), CP12 + (T12/24),
 IF(AND(T12&gt;6, T12&lt;10, CP12&gt;=TIME(8,0,0), CP12&lt;TIME(21,0,0)), CP12 + ((T12+0.5)/24),
 IF(AND(T12&gt;10, T12&lt;16.1, CP12&gt;=TIME(7,59,0), CP12&lt;TIME(16,0,0)), CP12 + (T12/24), "")))</f>
        <v>0.6875</v>
      </c>
      <c r="CR12" s="104">
        <f>IF(ISNUMBER(U12), IF(IsBold(U12), TIME(0,0,0), TIME(8,0,0)), "")</f>
        <v>0.33333333333333331</v>
      </c>
      <c r="CS12" s="105">
        <f>IF(CR12=TIME(0,0,0), CR12 + (U12/24),
 IF(AND(U12&gt;6, U12&lt;10, CR12&gt;=TIME(8,0,0), CR12&lt;TIME(21,0,0)), CR12 + ((U12+0.5)/24),
 IF(AND(U12&gt;10, U12&lt;16.1, CR12&gt;=TIME(7,59,0), CR12&lt;TIME(16,0,0)), CR12 + (U12/24), "")))</f>
        <v>0.6875</v>
      </c>
      <c r="CT12" s="105" t="str">
        <f>IF(ISNUMBER(V12), IF(IsBold(V12), TIME(0,0,0), TIME(8,0,0)), "")</f>
        <v/>
      </c>
      <c r="CU12" s="105" t="str">
        <f>IF(CT12=TIME(0,0,0), CT12 + (V12/24),
 IF(AND(V12&gt;6, V12&lt;10, CT12&gt;=TIME(8,0,0), CT12&lt;TIME(21,0,0)), CT12 + ((V12+0.5)/24),
 IF(AND(V12&gt;10, V12&lt;16.1, CT12&gt;=TIME(7,59,0), CT12&lt;TIME(16,0,0)), CT12 + (V12/24), "")))</f>
        <v/>
      </c>
      <c r="CV12" s="105">
        <f>IF(ISNUMBER(W12), IF(IsBold(W12), TIME(0,0,0), TIME(8,0,0)), "")</f>
        <v>0.33333333333333331</v>
      </c>
      <c r="CW12" s="105">
        <f>IF(CV12=TIME(0,0,0), CV12 + (W12/24),
 IF(AND(W12&gt;6, W12&lt;10, CV12&gt;=TIME(8,0,0), CV12&lt;TIME(21,0,0)), CV12 + ((W12+0.5)/24),
 IF(AND(W12&gt;10, W12&lt;16.1, CV12&gt;=TIME(7,59,0), CV12&lt;TIME(16,0,0)), CV12 + (W12/24), "")))</f>
        <v>0.6875</v>
      </c>
      <c r="CX12" s="105">
        <f>IF(ISNUMBER(X12), IF(IsBold(X12), TIME(0,0,0), TIME(8,0,0)), "")</f>
        <v>0.33333333333333331</v>
      </c>
      <c r="CY12" s="105">
        <f>IF(CX12=TIME(0,0,0), CX12 + (X12/24),
 IF(AND(X12&gt;6, X12&lt;10, CX12&gt;=TIME(8,0,0), CX12&lt;TIME(21,0,0)), CX12 + ((X12+0.5)/24),
 IF(AND(X12&gt;10, X12&lt;16.1, CX12&gt;=TIME(7,59,0), CX12&lt;TIME(16,0,0)), CX12 + (X12/24), "")))</f>
        <v>0.6875</v>
      </c>
      <c r="CZ12" s="105" t="str">
        <f>IF(ISNUMBER(Y12), IF(IsBold(Y12), TIME(0,0,0), TIME(8,0,0)), "")</f>
        <v/>
      </c>
      <c r="DA12" s="105" t="str">
        <f>IF(CZ12=TIME(0,0,0), CZ12 + (Y12/24),
 IF(AND(Y12&gt;6, Y12&lt;10, CZ12&gt;=TIME(8,0,0), CZ12&lt;TIME(21,0,0)), CZ12 + ((Y12+0.5)/24),
 IF(AND(Y12&gt;10, Y12&lt;16.1, CZ12&gt;=TIME(7,59,0), CZ12&lt;TIME(16,0,0)), CZ12 + (Y12/24), "")))</f>
        <v/>
      </c>
      <c r="DB12" s="105" t="str">
        <f>IF(ISNUMBER(Z12), IF(IsBold(Z12), TIME(0,0,0), TIME(8,0,0)), "")</f>
        <v/>
      </c>
      <c r="DC12" s="105" t="str">
        <f>IF(DB12=TIME(0,0,0), DB12 + (Z12/24),
 IF(AND(Z12&gt;6, Z12&lt;10, DB12&gt;=TIME(8,0,0), DB12&lt;TIME(21,0,0)), DB12 + ((Z12+0.5)/24),
 IF(AND(Z12&gt;10, Z12&lt;16.1, DB12&gt;=TIME(7,59,0), DB12&lt;TIME(16,0,0)), DB12 + (Z12/24), "")))</f>
        <v/>
      </c>
      <c r="DD12" s="106">
        <f>IF(ISNUMBER(AA12), IF(IsBold(AA12), TIME(0,0,0), TIME(8,0,0)), "")</f>
        <v>0.33333333333333331</v>
      </c>
      <c r="DE12" s="105">
        <f>IF(DD12=TIME(0,0,0), DD12 + (AA12/24),
 IF(AND(AA12&gt;6, AA12&lt;10, DD12&gt;=TIME(8,0,0), DD12&lt;TIME(21,0,0)), DD12 + ((AA12+0.5)/24),
 IF(AND(AA12&gt;10, AA12&lt;16.1, DD12&gt;=TIME(7,59,0), DD12&lt;TIME(16,0,0)), DD12 + (AA12/24), "")))</f>
        <v>0.6875</v>
      </c>
      <c r="DF12" s="106">
        <f>IF(ISNUMBER(AB12), IF(IsBold(AB12), TIME(0,0,0), TIME(8,0,0)), "")</f>
        <v>0.33333333333333331</v>
      </c>
      <c r="DG12" s="105">
        <f>IF(DF12=TIME(0,0,0), DF12 + (AB12/24),
 IF(AND(AB12&gt;6, AB12&lt;10, DF12&gt;=TIME(8,0,0), DF12&lt;TIME(21,0,0)), DF12 + ((AB12+0.5)/24),
 IF(AND(AB12&gt;10, AB12&lt;16.1, DF12&gt;=TIME(7,59,0), DF12&lt;TIME(16,0,0)), DF12 + (AB12/24), "")))</f>
        <v>0.6875</v>
      </c>
      <c r="DH12" s="105">
        <f>IF(ISNUMBER(AC12), IF(IsBold(AC12), TIME(0,0,0), TIME(8,0,0)), "")</f>
        <v>0.33333333333333331</v>
      </c>
      <c r="DI12" s="105">
        <f>IF(DH12=TIME(0,0,0), DH12 + (AC12/24),
 IF(AND(AC12&gt;6, AC12&lt;10, DH12&gt;=TIME(8,0,0), DH12&lt;TIME(21,0,0)), DH12 + ((AC12+0.5)/24),
 IF(AND(AC12&gt;10, AC12&lt;16.1, DH12&gt;=TIME(7,59,0), DH12&lt;TIME(16,0,0)), DH12 + (AC12/24), "")))</f>
        <v>0.6875</v>
      </c>
      <c r="DJ12" s="105">
        <f>IF(ISNUMBER(AD12), IF(IsBold(AD12), TIME(0,0,0), TIME(8,0,0)), "")</f>
        <v>0.33333333333333331</v>
      </c>
      <c r="DK12" s="105">
        <f>IF(DJ12=TIME(0,0,0), DJ12 + (AD12/24),
 IF(AND(AD12&gt;6, AD12&lt;10, DJ12&gt;=TIME(8,0,0), DJ12&lt;TIME(21,0,0)), DJ12 + ((AD12+0.5)/24),
 IF(AND(AD12&gt;10, AD12&lt;16.1, DJ12&gt;=TIME(7,59,0), DJ12&lt;TIME(16,0,0)), DJ12 + (AD12/24), "")))</f>
        <v>0.6875</v>
      </c>
      <c r="DL12" s="105">
        <f>IF(ISNUMBER(AE12), IF(IsBold(AE12), TIME(0,0,0), TIME(8,0,0)), "")</f>
        <v>0.33333333333333331</v>
      </c>
      <c r="DM12" s="105">
        <f>IF(DL12=TIME(0,0,0), DL12 + (AE12/24),
 IF(AND(AE12&gt;6, AE12&lt;10, DL12&gt;=TIME(8,0,0), DL12&lt;TIME(21,0,0)), DL12 + ((AE12+0.5)/24),
 IF(AND(AE12&gt;10, AE12&lt;16.1, DL12&gt;=TIME(7,59,0), DL12&lt;TIME(16,0,0)), DL12 + (AE12/24), "")))</f>
        <v>0.6875</v>
      </c>
      <c r="DN12" s="105" t="str">
        <f>IF(ISNUMBER(AF12), IF(IsBold(AF12), TIME(0,0,0), TIME(8,0,0)), "")</f>
        <v/>
      </c>
      <c r="DO12" s="105" t="str">
        <f>IF(DN12=TIME(0,0,0), DN12 + (AF12/24),
 IF(AND(AF12&gt;6, AF12&lt;10, DN12&gt;=TIME(8,0,0), DN12&lt;TIME(21,0,0)), DN12 + ((AF12+0.5)/24),
 IF(AND(AF12&gt;10, AF12&lt;16.1, DN12&gt;=TIME(7,59,0), DN12&lt;TIME(16,0,0)), DN12 + (AF12/24), "")))</f>
        <v/>
      </c>
      <c r="DP12" s="105" t="str">
        <f>IF(ISNUMBER(AG12), IF(IsBold(AG12), TIME(0,0,0), TIME(8,0,0)), "")</f>
        <v/>
      </c>
      <c r="DQ12" s="105" t="str">
        <f>IF(DP12=TIME(0,0,0), DP12 + (AG12/24),
 IF(AND(AG12&gt;6, AG12&lt;10, DP12&gt;=TIME(8,0,0), DP12&lt;TIME(21,0,0)), DP12 + ((AG12+0.5)/24),
 IF(AND(AG12&gt;10, AG12&lt;16.1, DP12&gt;=TIME(7,59,0), DP12&lt;TIME(16,0,0)), DP12 + (AG12/24), "")))</f>
        <v/>
      </c>
      <c r="DR12" s="105" t="str">
        <f>IF(ISNUMBER(AH12), IF(IsBold(AH12), TIME(0,0,0), TIME(8,0,0)), "")</f>
        <v/>
      </c>
      <c r="DS12" s="105" t="str">
        <f>IF(DR12=TIME(0,0,0), DR12 + (AH12/24),
 IF(AND(AH12&gt;6, AH12&lt;10, DR12&gt;=TIME(8,0,0), DR12&lt;TIME(21,0,0)), DR12 + ((AH12+0.5)/24),
 IF(AND(AH12&gt;10, AH12&lt;16.1, DR12&gt;=TIME(7,59,0), DR12&lt;TIME(16,0,0)), DR12 + (AH12/24), "")))</f>
        <v/>
      </c>
      <c r="DT12" s="105" t="str">
        <f>IF(ISNUMBER(AI12), IF(IsBold(AI12), TIME(0,0,0), TIME(8,0,0)), "")</f>
        <v/>
      </c>
      <c r="DU12" s="105" t="str">
        <f>IF(DT12=TIME(0,0,0), DT12 + (AI12/24),
 IF(AND(AI12&gt;6, AI12&lt;10, DT12&gt;=TIME(8,0,0), DT12&lt;TIME(21,0,0)), DT12 + ((AI12+0.5)/24),
 IF(AND(AI12&gt;10, AI12&lt;16.1, DT12&gt;=TIME(7,59,0), DT12&lt;TIME(16,0,0)), DT12 + (AI12/24), "")))</f>
        <v/>
      </c>
      <c r="DV12" s="110">
        <f t="shared" ref="DV12:DV32" si="2">AO12</f>
        <v>152</v>
      </c>
    </row>
    <row r="13" spans="1:126" ht="15" thickBot="1" x14ac:dyDescent="0.35">
      <c r="A13" s="12">
        <v>3</v>
      </c>
      <c r="B13" s="76" t="s">
        <v>33</v>
      </c>
      <c r="C13" s="77" t="s">
        <v>21</v>
      </c>
      <c r="D13" s="78">
        <v>1</v>
      </c>
      <c r="E13" s="73"/>
      <c r="F13" s="79"/>
      <c r="G13" s="79">
        <v>16</v>
      </c>
      <c r="H13" s="75">
        <v>8</v>
      </c>
      <c r="I13" s="73"/>
      <c r="J13" s="73"/>
      <c r="K13" s="79">
        <v>16</v>
      </c>
      <c r="L13" s="75">
        <v>8</v>
      </c>
      <c r="M13" s="73"/>
      <c r="N13" s="73"/>
      <c r="O13" s="79">
        <v>16</v>
      </c>
      <c r="P13" s="75">
        <v>8</v>
      </c>
      <c r="Q13" s="73"/>
      <c r="R13" s="73"/>
      <c r="S13" s="80"/>
      <c r="T13" s="79">
        <v>16</v>
      </c>
      <c r="U13" s="75">
        <v>8</v>
      </c>
      <c r="V13" s="73"/>
      <c r="W13" s="79">
        <v>16</v>
      </c>
      <c r="X13" s="75">
        <v>8</v>
      </c>
      <c r="Y13" s="73"/>
      <c r="Z13" s="73"/>
      <c r="AA13" s="79">
        <v>16</v>
      </c>
      <c r="AB13" s="75">
        <v>8</v>
      </c>
      <c r="AC13" s="73"/>
      <c r="AD13" s="79"/>
      <c r="AE13" s="75"/>
      <c r="AF13" s="75"/>
      <c r="AG13" s="79">
        <v>16</v>
      </c>
      <c r="AH13" s="75">
        <v>8</v>
      </c>
      <c r="AI13" s="73"/>
      <c r="AJ13" s="90">
        <f>COUNTIFS(E13:AI13,"&gt;0", E13:AI13,"&lt;&gt;"&amp;"")</f>
        <v>14</v>
      </c>
      <c r="AK13" s="91">
        <f>COUNTIF(E13:AI13, "ВП")</f>
        <v>0</v>
      </c>
      <c r="AL13" s="95">
        <f>COUNTIF(E13:AI13, "ВД")</f>
        <v>0</v>
      </c>
      <c r="AM13" s="91">
        <f>SumBoldNumbers(E13:AI13)</f>
        <v>56</v>
      </c>
      <c r="AN13" s="91">
        <f>SUM(CountWeekendDays(E10)+COUNTIF(E13:AI13,"С"))</f>
        <v>9</v>
      </c>
      <c r="AO13" s="96">
        <f>SUM(E13:AI13)</f>
        <v>168</v>
      </c>
      <c r="AP13" s="93">
        <f>(DAY(EOMONTH(E10, 0)) - AN13 - AK13) * AU13  * D13</f>
        <v>176</v>
      </c>
      <c r="AQ13" s="94">
        <f t="shared" si="1"/>
        <v>8</v>
      </c>
      <c r="AR13" s="101" t="e">
        <f t="shared" ref="AR13:AR32" si="3">AQ13/(AJ13-(AM13/4))</f>
        <v>#DIV/0!</v>
      </c>
      <c r="AS13" s="22"/>
      <c r="AU13" s="31">
        <f>IF(C13="вихователь", 6, IF(C13="каштелян", 8, IF(C13="буфетниця", 8, IF(C13="молодша м/с", 8, IF(C13="сестр. госп.", 8, 7.7)))))</f>
        <v>8</v>
      </c>
      <c r="AV13" s="31" t="s">
        <v>32</v>
      </c>
      <c r="AW13" s="30"/>
      <c r="AX13" s="30"/>
      <c r="BA13" s="18">
        <f>A13</f>
        <v>3</v>
      </c>
      <c r="BB13" s="102" t="str">
        <f>B13</f>
        <v>Зарицька  І.І.</v>
      </c>
      <c r="BC13" s="103" t="str">
        <f>C13</f>
        <v>молодша м/с</v>
      </c>
      <c r="BD13" s="104" t="str">
        <f>IF(ISNUMBER(E13), IF(IsBold(E13), TIME(0,0,0), TIME(8,0,0)), "")</f>
        <v/>
      </c>
      <c r="BE13" s="105" t="str">
        <f>IF(BD13=TIME(0,0,0), BD13 + (E13/24),
 IF(AND(E13&gt;6, E13&lt;10, BD13&gt;=TIME(8,0,0), BD13&lt;TIME(21,0,0)), BD13 + ((E13+0.5)/24),
 IF(AND(E13&gt;10, E13&lt;16.1, BD13&gt;=TIME(7,59,0), BD13&lt;TIME(16,0,0)), BD13 + (E13/24), "")))</f>
        <v/>
      </c>
      <c r="BF13" s="105" t="str">
        <f>IF(ISNUMBER(F13), IF(IsBold(F13), TIME(0,0,0), TIME(8,0,0)), "")</f>
        <v/>
      </c>
      <c r="BG13" s="105" t="str">
        <f>IF(BF13=TIME(0,0,0), BF13 + (F13/24),
 IF(AND(F13&gt;6, F13&lt;10, BF13&gt;=TIME(8,0,0), BF13&lt;TIME(21,0,0)), BF13 + ((F13+0.5)/24),
 IF(AND(F13&gt;10, F13&lt;16.1, BF13&gt;=TIME(7,59,0), BF13&lt;TIME(16,0,0)), BF13 + (F13/24), "")))</f>
        <v/>
      </c>
      <c r="BH13" s="105">
        <f>IF(ISNUMBER(G13), IF(IsBold(G13), TIME(0,0,0), TIME(8,0,0)), "")</f>
        <v>0.33333333333333331</v>
      </c>
      <c r="BI13" s="105">
        <f>IF(BH13=TIME(0,0,0), BH13 + (G13/24),
 IF(AND(G13&gt;6, G13&lt;10, BH13&gt;=TIME(8,0,0), BH13&lt;TIME(21,0,0)), BH13 + ((G13+0.5)/24),
 IF(AND(G13&gt;10, G13&lt;16.1, BH13&gt;=TIME(7,59,0), BH13&lt;TIME(16,0,0)), BH13 + (G13/24), "")))</f>
        <v>1</v>
      </c>
      <c r="BJ13" s="105">
        <f>IF(ISNUMBER(H13), IF(IsBold(H13), TIME(0,0,0), TIME(8,0,0)), "")</f>
        <v>0</v>
      </c>
      <c r="BK13" s="105">
        <f>IF(BJ13=TIME(0,0,0), BJ13 + (H13/24),
 IF(AND(H13&gt;6, H13&lt;10, BJ13&gt;=TIME(8,0,0), BJ13&lt;TIME(21,0,0)), BJ13 + ((H13+0.5)/24),
 IF(AND(H13&gt;10, H13&lt;16.1, BJ13&gt;=TIME(7,59,0), BJ13&lt;TIME(16,0,0)), BJ13 + (H13/24), "")))</f>
        <v>0.33333333333333331</v>
      </c>
      <c r="BL13" s="105" t="str">
        <f>IF(ISNUMBER(I13), IF(IsBold(I13), TIME(0,0,0), TIME(8,0,0)), "")</f>
        <v/>
      </c>
      <c r="BM13" s="105" t="str">
        <f>IF(BL13=TIME(0,0,0), BL13 + (I13/24),
 IF(AND(I13&gt;6, I13&lt;10, BL13&gt;=TIME(8,0,0), BL13&lt;TIME(21,0,0)), BL13 + ((I13+0.5)/24),
 IF(AND(I13&gt;10, I13&lt;16.1, BL13&gt;=TIME(7,59,0), BL13&lt;TIME(16,0,0)), BL13 + (I13/24), "")))</f>
        <v/>
      </c>
      <c r="BN13" s="105" t="str">
        <f>IF(ISNUMBER(J13), IF(IsBold(J13), TIME(0,0,0), TIME(8,0,0)), "")</f>
        <v/>
      </c>
      <c r="BO13" s="105" t="str">
        <f>IF(BN13=TIME(0,0,0), BN13 + (J13/24),
 IF(AND(J13&gt;6, J13&lt;10, BN13&gt;=TIME(8,0,0), BN13&lt;TIME(21,0,0)), BN13 + ((J13+0.5)/24),
 IF(AND(J13&gt;10, J13&lt;16.1, BN13&gt;=TIME(7,59,0), BN13&lt;TIME(16,0,0)), BN13 + (J13/24), "")))</f>
        <v/>
      </c>
      <c r="BP13" s="105">
        <f>IF(ISNUMBER(K13), IF(IsBold(K13), TIME(0,0,0), TIME(8,0,0)), "")</f>
        <v>0.33333333333333331</v>
      </c>
      <c r="BQ13" s="105">
        <f>IF(BP13=TIME(0,0,0), BP13 + (K13/24),
 IF(AND(K13&gt;6, K13&lt;10, BP13&gt;=TIME(8,0,0), BP13&lt;TIME(21,0,0)), BP13 + ((K13+0.5)/24),
 IF(AND(K13&gt;10, K13&lt;16.1, BP13&gt;=TIME(7,59,0), BP13&lt;TIME(16,0,0)), BP13 + (K13/24), "")))</f>
        <v>1</v>
      </c>
      <c r="BR13" s="106">
        <f>IF(ISNUMBER(L13), IF(IsBold(L13), TIME(0,0,0), TIME(8,0,0)), "")</f>
        <v>0</v>
      </c>
      <c r="BS13" s="105">
        <f>IF(BR13=TIME(0,0,0), BR13 + (L13/24),
 IF(AND(L13&gt;6, L13&lt;10, BR13&gt;=TIME(8,0,0), BR13&lt;TIME(21,0,0)), BR13 + ((L13+0.5)/24),
 IF(AND(L13&gt;10, L13&lt;16.1, BR13&gt;=TIME(7,59,0), BR13&lt;TIME(16,0,0)), BR13 + (L13/24), "")))</f>
        <v>0.33333333333333331</v>
      </c>
      <c r="BT13" s="106" t="str">
        <f>IF(ISNUMBER(M13), IF(IsBold(M13), TIME(0,0,0), TIME(8,0,0)), "")</f>
        <v/>
      </c>
      <c r="BU13" s="105" t="str">
        <f>IF(BT13=TIME(0,0,0), BT13 + (M13/24),
 IF(AND(M13&gt;6, M13&lt;10, BT13&gt;=TIME(8,0,0), BT13&lt;TIME(21,0,0)), BT13 + ((M13+0.5)/24),
 IF(AND(M13&gt;10, M13&lt;16.1, BT13&gt;=TIME(7,59,0), BT13&lt;TIME(16,0,0)), BT13 + (M13/24), "")))</f>
        <v/>
      </c>
      <c r="BV13" s="105" t="str">
        <f>IF(ISNUMBER(N13), IF(IsBold(N13), TIME(0,0,0), TIME(8,0,0)), "")</f>
        <v/>
      </c>
      <c r="BW13" s="105" t="str">
        <f>IF(BV13=TIME(0,0,0), BV13 + (N13/24),
 IF(AND(N13&gt;6, N13&lt;10, BV13&gt;=TIME(8,0,0), BV13&lt;TIME(21,0,0)), BV13 + ((N13+0.5)/24),
 IF(AND(N13&gt;10, N13&lt;16.1, BV13&gt;=TIME(7,59,0), BV13&lt;TIME(16,0,0)), BV13 + (N13/24), "")))</f>
        <v/>
      </c>
      <c r="BX13" s="105">
        <f>IF(ISNUMBER(O13), IF(IsBold(O13), TIME(0,0,0), TIME(8,0,0)), "")</f>
        <v>0.33333333333333331</v>
      </c>
      <c r="BY13" s="105">
        <f>IF(BX13=TIME(0,0,0), BX13 + (O13/24),
 IF(AND(O13&gt;6, O13&lt;10, BX13&gt;=TIME(8,0,0), BX13&lt;TIME(21,0,0)), BX13 + ((O13+0.5)/24),
 IF(AND(O13&gt;10, O13&lt;16.1, BX13&gt;=TIME(7,59,0), BX13&lt;TIME(16,0,0)), BX13 + (O13/24), "")))</f>
        <v>1</v>
      </c>
      <c r="BZ13" s="105">
        <f>IF(ISNUMBER(P13), IF(IsBold(P13), TIME(0,0,0), TIME(8,0,0)), "")</f>
        <v>0</v>
      </c>
      <c r="CA13" s="105">
        <f>IF(BZ13=TIME(0,0,0), BZ13 + (P13/24),
 IF(AND(P13&gt;6, P13&lt;10, BZ13&gt;=TIME(8,0,0), BZ13&lt;TIME(21,0,0)), BZ13 + ((P13+0.5)/24),
 IF(AND(P13&gt;10, P13&lt;16.1, BZ13&gt;=TIME(7,59,0), BZ13&lt;TIME(16,0,0)), BZ13 + (P13/24), "")))</f>
        <v>0.33333333333333331</v>
      </c>
      <c r="CB13" s="105" t="str">
        <f>IF(ISNUMBER(Q13), IF(IsBold(Q13), TIME(0,0,0), TIME(8,0,0)), "")</f>
        <v/>
      </c>
      <c r="CC13" s="105" t="str">
        <f>IF(CB13=TIME(0,0,0), CB13 + (Q13/24),
 IF(AND(Q13&gt;6, Q13&lt;10, CB13&gt;=TIME(8,0,0), CB13&lt;TIME(21,0,0)), CB13 + ((Q13+0.5)/24),
 IF(AND(Q13&gt;10, Q13&lt;16.1, CB13&gt;=TIME(7,59,0), CB13&lt;TIME(16,0,0)), CB13 + (Q13/24), "")))</f>
        <v/>
      </c>
      <c r="CD13" s="105" t="str">
        <f>IF(ISNUMBER(R13), IF(IsBold(R13), TIME(0,0,0), TIME(8,0,0)), "")</f>
        <v/>
      </c>
      <c r="CE13" s="105" t="str">
        <f>IF(CD13=TIME(0,0,0), CD13 + (R13/24),
 IF(AND(R13&gt;6, R13&lt;10, CD13&gt;=TIME(8,0,0), CD13&lt;TIME(21,0,0)), CD13 + ((R13+0.5)/24),
 IF(AND(R13&gt;10, R13&lt;16.1, CD13&gt;=TIME(7,59,0), CD13&lt;TIME(16,0,0)), CD13 + (R13/24), "")))</f>
        <v/>
      </c>
      <c r="CF13" s="105" t="str">
        <f>IF(ISNUMBER(S13), IF(IsBold(S13), TIME(0,0,0), TIME(8,0,0)), "")</f>
        <v/>
      </c>
      <c r="CG13" s="105" t="str">
        <f>IF(CF13=TIME(0,0,0), CF13 + (S13/24),
 IF(AND(S13&gt;6, S13&lt;10, CF13&gt;=TIME(8,0,0), CF13&lt;TIME(21,0,0)), CF13 + ((S13+0.5)/24),
 IF(AND(S13&gt;10, S13&lt;16.1, CF13&gt;=TIME(7,59,0), CF13&lt;TIME(16,0,0)), CF13 + (S13/24), "")))</f>
        <v/>
      </c>
      <c r="CM13" s="18">
        <f>A13</f>
        <v>3</v>
      </c>
      <c r="CN13" s="107" t="str">
        <f>B13</f>
        <v>Зарицька  І.І.</v>
      </c>
      <c r="CO13" s="103" t="str">
        <f>C13</f>
        <v>молодша м/с</v>
      </c>
      <c r="CP13" s="104">
        <f>IF(ISNUMBER(T13), IF(IsBold(T13), TIME(0,0,0), TIME(8,0,0)), "")</f>
        <v>0.33333333333333331</v>
      </c>
      <c r="CQ13" s="105">
        <f>IF(CP13=TIME(0,0,0), CP13 + (T13/24),
 IF(AND(T13&gt;6, T13&lt;10, CP13&gt;=TIME(8,0,0), CP13&lt;TIME(21,0,0)), CP13 + ((T13+0.5)/24),
 IF(AND(T13&gt;10, T13&lt;16.1, CP13&gt;=TIME(7,59,0), CP13&lt;TIME(16,0,0)), CP13 + (T13/24), "")))</f>
        <v>1</v>
      </c>
      <c r="CR13" s="104">
        <f>IF(ISNUMBER(U13), IF(IsBold(U13), TIME(0,0,0), TIME(8,0,0)), "")</f>
        <v>0</v>
      </c>
      <c r="CS13" s="105">
        <f>IF(CR13=TIME(0,0,0), CR13 + (U13/24),
 IF(AND(U13&gt;6, U13&lt;10, CR13&gt;=TIME(8,0,0), CR13&lt;TIME(21,0,0)), CR13 + ((U13+0.5)/24),
 IF(AND(U13&gt;10, U13&lt;16.1, CR13&gt;=TIME(7,59,0), CR13&lt;TIME(16,0,0)), CR13 + (U13/24), "")))</f>
        <v>0.33333333333333331</v>
      </c>
      <c r="CT13" s="105" t="str">
        <f>IF(ISNUMBER(V13), IF(IsBold(V13), TIME(0,0,0), TIME(8,0,0)), "")</f>
        <v/>
      </c>
      <c r="CU13" s="105" t="str">
        <f>IF(CT13=TIME(0,0,0), CT13 + (V13/24),
 IF(AND(V13&gt;6, V13&lt;10, CT13&gt;=TIME(8,0,0), CT13&lt;TIME(21,0,0)), CT13 + ((V13+0.5)/24),
 IF(AND(V13&gt;10, V13&lt;16.1, CT13&gt;=TIME(7,59,0), CT13&lt;TIME(16,0,0)), CT13 + (V13/24), "")))</f>
        <v/>
      </c>
      <c r="CV13" s="105">
        <f>IF(ISNUMBER(W13), IF(IsBold(W13), TIME(0,0,0), TIME(8,0,0)), "")</f>
        <v>0.33333333333333331</v>
      </c>
      <c r="CW13" s="105">
        <f>IF(CV13=TIME(0,0,0), CV13 + (W13/24),
 IF(AND(W13&gt;6, W13&lt;10, CV13&gt;=TIME(8,0,0), CV13&lt;TIME(21,0,0)), CV13 + ((W13+0.5)/24),
 IF(AND(W13&gt;10, W13&lt;16.1, CV13&gt;=TIME(7,59,0), CV13&lt;TIME(16,0,0)), CV13 + (W13/24), "")))</f>
        <v>1</v>
      </c>
      <c r="CX13" s="105">
        <f>IF(ISNUMBER(X13), IF(IsBold(X13), TIME(0,0,0), TIME(8,0,0)), "")</f>
        <v>0</v>
      </c>
      <c r="CY13" s="105">
        <f>IF(CX13=TIME(0,0,0), CX13 + (X13/24),
 IF(AND(X13&gt;6, X13&lt;10, CX13&gt;=TIME(8,0,0), CX13&lt;TIME(21,0,0)), CX13 + ((X13+0.5)/24),
 IF(AND(X13&gt;10, X13&lt;16.1, CX13&gt;=TIME(7,59,0), CX13&lt;TIME(16,0,0)), CX13 + (X13/24), "")))</f>
        <v>0.33333333333333331</v>
      </c>
      <c r="CZ13" s="105" t="str">
        <f>IF(ISNUMBER(Y13), IF(IsBold(Y13), TIME(0,0,0), TIME(8,0,0)), "")</f>
        <v/>
      </c>
      <c r="DA13" s="105" t="str">
        <f>IF(CZ13=TIME(0,0,0), CZ13 + (Y13/24),
 IF(AND(Y13&gt;6, Y13&lt;10, CZ13&gt;=TIME(8,0,0), CZ13&lt;TIME(21,0,0)), CZ13 + ((Y13+0.5)/24),
 IF(AND(Y13&gt;10, Y13&lt;16.1, CZ13&gt;=TIME(7,59,0), CZ13&lt;TIME(16,0,0)), CZ13 + (Y13/24), "")))</f>
        <v/>
      </c>
      <c r="DB13" s="105" t="str">
        <f>IF(ISNUMBER(Z13), IF(IsBold(Z13), TIME(0,0,0), TIME(8,0,0)), "")</f>
        <v/>
      </c>
      <c r="DC13" s="105" t="str">
        <f>IF(DB13=TIME(0,0,0), DB13 + (Z13/24),
 IF(AND(Z13&gt;6, Z13&lt;10, DB13&gt;=TIME(8,0,0), DB13&lt;TIME(21,0,0)), DB13 + ((Z13+0.5)/24),
 IF(AND(Z13&gt;10, Z13&lt;16.1, DB13&gt;=TIME(7,59,0), DB13&lt;TIME(16,0,0)), DB13 + (Z13/24), "")))</f>
        <v/>
      </c>
      <c r="DD13" s="106">
        <f>IF(ISNUMBER(AA13), IF(IsBold(AA13), TIME(0,0,0), TIME(8,0,0)), "")</f>
        <v>0.33333333333333331</v>
      </c>
      <c r="DE13" s="105">
        <f>IF(DD13=TIME(0,0,0), DD13 + (AA13/24),
 IF(AND(AA13&gt;6, AA13&lt;10, DD13&gt;=TIME(8,0,0), DD13&lt;TIME(21,0,0)), DD13 + ((AA13+0.5)/24),
 IF(AND(AA13&gt;10, AA13&lt;16.1, DD13&gt;=TIME(7,59,0), DD13&lt;TIME(16,0,0)), DD13 + (AA13/24), "")))</f>
        <v>1</v>
      </c>
      <c r="DF13" s="106">
        <f>IF(ISNUMBER(AB13), IF(IsBold(AB13), TIME(0,0,0), TIME(8,0,0)), "")</f>
        <v>0</v>
      </c>
      <c r="DG13" s="105">
        <f>IF(DF13=TIME(0,0,0), DF13 + (AB13/24),
 IF(AND(AB13&gt;6, AB13&lt;10, DF13&gt;=TIME(8,0,0), DF13&lt;TIME(21,0,0)), DF13 + ((AB13+0.5)/24),
 IF(AND(AB13&gt;10, AB13&lt;16.1, DF13&gt;=TIME(7,59,0), DF13&lt;TIME(16,0,0)), DF13 + (AB13/24), "")))</f>
        <v>0.33333333333333331</v>
      </c>
      <c r="DH13" s="105" t="str">
        <f>IF(ISNUMBER(AC13), IF(IsBold(AC13), TIME(0,0,0), TIME(8,0,0)), "")</f>
        <v/>
      </c>
      <c r="DI13" s="105" t="str">
        <f>IF(DH13=TIME(0,0,0), DH13 + (AC13/24),
 IF(AND(AC13&gt;6, AC13&lt;10, DH13&gt;=TIME(8,0,0), DH13&lt;TIME(21,0,0)), DH13 + ((AC13+0.5)/24),
 IF(AND(AC13&gt;10, AC13&lt;16.1, DH13&gt;=TIME(7,59,0), DH13&lt;TIME(16,0,0)), DH13 + (AC13/24), "")))</f>
        <v/>
      </c>
      <c r="DJ13" s="105" t="str">
        <f>IF(ISNUMBER(AD13), IF(IsBold(AD13), TIME(0,0,0), TIME(8,0,0)), "")</f>
        <v/>
      </c>
      <c r="DK13" s="105" t="str">
        <f>IF(DJ13=TIME(0,0,0), DJ13 + (AD13/24),
 IF(AND(AD13&gt;6, AD13&lt;10, DJ13&gt;=TIME(8,0,0), DJ13&lt;TIME(21,0,0)), DJ13 + ((AD13+0.5)/24),
 IF(AND(AD13&gt;10, AD13&lt;16.1, DJ13&gt;=TIME(7,59,0), DJ13&lt;TIME(16,0,0)), DJ13 + (AD13/24), "")))</f>
        <v/>
      </c>
      <c r="DL13" s="105" t="str">
        <f>IF(ISNUMBER(AE13), IF(IsBold(AE13), TIME(0,0,0), TIME(8,0,0)), "")</f>
        <v/>
      </c>
      <c r="DM13" s="105" t="str">
        <f>IF(DL13=TIME(0,0,0), DL13 + (AE13/24),
 IF(AND(AE13&gt;6, AE13&lt;10, DL13&gt;=TIME(8,0,0), DL13&lt;TIME(21,0,0)), DL13 + ((AE13+0.5)/24),
 IF(AND(AE13&gt;10, AE13&lt;16.1, DL13&gt;=TIME(7,59,0), DL13&lt;TIME(16,0,0)), DL13 + (AE13/24), "")))</f>
        <v/>
      </c>
      <c r="DN13" s="105" t="str">
        <f>IF(ISNUMBER(AF13), IF(IsBold(AF13), TIME(0,0,0), TIME(8,0,0)), "")</f>
        <v/>
      </c>
      <c r="DO13" s="105" t="str">
        <f>IF(DN13=TIME(0,0,0), DN13 + (AF13/24),
 IF(AND(AF13&gt;6, AF13&lt;10, DN13&gt;=TIME(8,0,0), DN13&lt;TIME(21,0,0)), DN13 + ((AF13+0.5)/24),
 IF(AND(AF13&gt;10, AF13&lt;16.1, DN13&gt;=TIME(7,59,0), DN13&lt;TIME(16,0,0)), DN13 + (AF13/24), "")))</f>
        <v/>
      </c>
      <c r="DP13" s="105">
        <f>IF(ISNUMBER(AG13), IF(IsBold(AG13), TIME(0,0,0), TIME(8,0,0)), "")</f>
        <v>0.33333333333333331</v>
      </c>
      <c r="DQ13" s="105">
        <f>IF(DP13=TIME(0,0,0), DP13 + (AG13/24),
 IF(AND(AG13&gt;6, AG13&lt;10, DP13&gt;=TIME(8,0,0), DP13&lt;TIME(21,0,0)), DP13 + ((AG13+0.5)/24),
 IF(AND(AG13&gt;10, AG13&lt;16.1, DP13&gt;=TIME(7,59,0), DP13&lt;TIME(16,0,0)), DP13 + (AG13/24), "")))</f>
        <v>1</v>
      </c>
      <c r="DR13" s="105">
        <f>IF(ISNUMBER(AH13), IF(IsBold(AH13), TIME(0,0,0), TIME(8,0,0)), "")</f>
        <v>0</v>
      </c>
      <c r="DS13" s="105">
        <f>IF(DR13=TIME(0,0,0), DR13 + (AH13/24),
 IF(AND(AH13&gt;6, AH13&lt;10, DR13&gt;=TIME(8,0,0), DR13&lt;TIME(21,0,0)), DR13 + ((AH13+0.5)/24),
 IF(AND(AH13&gt;10, AH13&lt;16.1, DR13&gt;=TIME(7,59,0), DR13&lt;TIME(16,0,0)), DR13 + (AH13/24), "")))</f>
        <v>0.33333333333333331</v>
      </c>
      <c r="DT13" s="105" t="str">
        <f>IF(ISNUMBER(AI13), IF(IsBold(AI13), TIME(0,0,0), TIME(8,0,0)), "")</f>
        <v/>
      </c>
      <c r="DU13" s="105" t="str">
        <f>IF(DT13=TIME(0,0,0), DT13 + (AI13/24),
 IF(AND(AI13&gt;6, AI13&lt;10, DT13&gt;=TIME(8,0,0), DT13&lt;TIME(21,0,0)), DT13 + ((AI13+0.5)/24),
 IF(AND(AI13&gt;10, AI13&lt;16.1, DT13&gt;=TIME(7,59,0), DT13&lt;TIME(16,0,0)), DT13 + (AI13/24), "")))</f>
        <v/>
      </c>
      <c r="DV13" s="110">
        <f t="shared" si="2"/>
        <v>168</v>
      </c>
    </row>
    <row r="14" spans="1:126" ht="15" thickBot="1" x14ac:dyDescent="0.35">
      <c r="A14" s="12">
        <v>4</v>
      </c>
      <c r="B14" s="76" t="s">
        <v>34</v>
      </c>
      <c r="C14" s="77" t="s">
        <v>19</v>
      </c>
      <c r="D14" s="78">
        <v>1</v>
      </c>
      <c r="E14" s="73"/>
      <c r="F14" s="79">
        <v>16</v>
      </c>
      <c r="G14" s="75">
        <v>8</v>
      </c>
      <c r="H14" s="75"/>
      <c r="I14" s="81"/>
      <c r="J14" s="79">
        <v>16</v>
      </c>
      <c r="K14" s="75">
        <v>8</v>
      </c>
      <c r="L14" s="75"/>
      <c r="M14" s="79">
        <v>16</v>
      </c>
      <c r="N14" s="75">
        <v>8</v>
      </c>
      <c r="O14" s="79"/>
      <c r="P14" s="75"/>
      <c r="Q14" s="79">
        <v>16</v>
      </c>
      <c r="R14" s="75">
        <v>8</v>
      </c>
      <c r="S14" s="79"/>
      <c r="T14" s="75"/>
      <c r="U14" s="79">
        <v>16</v>
      </c>
      <c r="V14" s="75">
        <v>8</v>
      </c>
      <c r="W14" s="79"/>
      <c r="X14" s="75"/>
      <c r="Y14" s="79">
        <v>16</v>
      </c>
      <c r="Z14" s="75">
        <v>8</v>
      </c>
      <c r="AA14" s="79"/>
      <c r="AB14" s="75"/>
      <c r="AC14" s="79"/>
      <c r="AD14" s="75"/>
      <c r="AE14" s="79">
        <v>16</v>
      </c>
      <c r="AF14" s="75">
        <v>8</v>
      </c>
      <c r="AG14" s="73"/>
      <c r="AH14" s="73"/>
      <c r="AI14" s="75"/>
      <c r="AJ14" s="90">
        <f>COUNTIFS(E14:AI14,"&gt;0", E14:AI14,"&lt;&gt;"&amp;"")</f>
        <v>14</v>
      </c>
      <c r="AK14" s="91">
        <f>COUNTIF(E14:AI14, "ВП")</f>
        <v>0</v>
      </c>
      <c r="AL14" s="95">
        <f>COUNTIF(E14:AI14, "ВД")</f>
        <v>0</v>
      </c>
      <c r="AM14" s="91">
        <f>SumBoldNumbers(E14:AI14)</f>
        <v>56</v>
      </c>
      <c r="AN14" s="91">
        <f>SUM(CountWeekendDays(E10)+COUNTIF(E14:AI14,"С"))</f>
        <v>9</v>
      </c>
      <c r="AO14" s="96">
        <f>SUM(E14:AI14)</f>
        <v>168</v>
      </c>
      <c r="AP14" s="93">
        <f>(DAY(EOMONTH(E10, 0)) - AN14 - AK14) * AU14  * D14</f>
        <v>169.4</v>
      </c>
      <c r="AQ14" s="94">
        <f t="shared" si="1"/>
        <v>1.4000000000000057</v>
      </c>
      <c r="AR14" s="101" t="e">
        <f t="shared" si="3"/>
        <v>#DIV/0!</v>
      </c>
      <c r="AS14" s="22"/>
      <c r="AU14" s="31">
        <f>IF(C14="вихователь", 6, IF(C14="каштелян", 8, IF(C14="буфетниця", 8, IF(C14="молодша м/с", 8, IF(C14="сестр. госп.", 8, 7.7)))))</f>
        <v>7.7</v>
      </c>
      <c r="AV14" s="31" t="s">
        <v>23</v>
      </c>
      <c r="AW14" s="30"/>
      <c r="AX14" s="30"/>
      <c r="BA14" s="18">
        <f>A14</f>
        <v>4</v>
      </c>
      <c r="BB14" s="102" t="str">
        <f>B14</f>
        <v>Супронович Т.Ю.</v>
      </c>
      <c r="BC14" s="103" t="str">
        <f>C14</f>
        <v>м/с стаціон.</v>
      </c>
      <c r="BD14" s="104" t="str">
        <f>IF(ISNUMBER(E14), IF(IsBold(E14), TIME(0,0,0), TIME(8,0,0)), "")</f>
        <v/>
      </c>
      <c r="BE14" s="105" t="str">
        <f>IF(BD14=TIME(0,0,0), BD14 + (E14/24),
 IF(AND(E14&gt;6, E14&lt;10, BD14&gt;=TIME(8,0,0), BD14&lt;TIME(21,0,0)), BD14 + ((E14+0.5)/24),
 IF(AND(E14&gt;10, E14&lt;16.1, BD14&gt;=TIME(7,59,0), BD14&lt;TIME(16,0,0)), BD14 + (E14/24), "")))</f>
        <v/>
      </c>
      <c r="BF14" s="105">
        <f>IF(ISNUMBER(F14), IF(IsBold(F14), TIME(0,0,0), TIME(8,0,0)), "")</f>
        <v>0.33333333333333331</v>
      </c>
      <c r="BG14" s="105">
        <f>IF(BF14=TIME(0,0,0), BF14 + (F14/24),
 IF(AND(F14&gt;6, F14&lt;10, BF14&gt;=TIME(8,0,0), BF14&lt;TIME(21,0,0)), BF14 + ((F14+0.5)/24),
 IF(AND(F14&gt;10, F14&lt;16.1, BF14&gt;=TIME(7,59,0), BF14&lt;TIME(16,0,0)), BF14 + (F14/24), "")))</f>
        <v>1</v>
      </c>
      <c r="BH14" s="105">
        <f>IF(ISNUMBER(G14), IF(IsBold(G14), TIME(0,0,0), TIME(8,0,0)), "")</f>
        <v>0</v>
      </c>
      <c r="BI14" s="105">
        <f>IF(BH14=TIME(0,0,0), BH14 + (G14/24),
 IF(AND(G14&gt;6, G14&lt;10, BH14&gt;=TIME(8,0,0), BH14&lt;TIME(21,0,0)), BH14 + ((G14+0.5)/24),
 IF(AND(G14&gt;10, G14&lt;16.1, BH14&gt;=TIME(7,59,0), BH14&lt;TIME(16,0,0)), BH14 + (G14/24), "")))</f>
        <v>0.33333333333333331</v>
      </c>
      <c r="BJ14" s="105" t="str">
        <f>IF(ISNUMBER(H14), IF(IsBold(H14), TIME(0,0,0), TIME(8,0,0)), "")</f>
        <v/>
      </c>
      <c r="BK14" s="105" t="str">
        <f>IF(BJ14=TIME(0,0,0), BJ14 + (H14/24),
 IF(AND(H14&gt;6, H14&lt;10, BJ14&gt;=TIME(8,0,0), BJ14&lt;TIME(21,0,0)), BJ14 + ((H14+0.5)/24),
 IF(AND(H14&gt;10, H14&lt;16.1, BJ14&gt;=TIME(7,59,0), BJ14&lt;TIME(16,0,0)), BJ14 + (H14/24), "")))</f>
        <v/>
      </c>
      <c r="BL14" s="105" t="str">
        <f>IF(ISNUMBER(I14), IF(IsBold(I14), TIME(0,0,0), TIME(8,0,0)), "")</f>
        <v/>
      </c>
      <c r="BM14" s="105" t="str">
        <f>IF(BL14=TIME(0,0,0), BL14 + (I14/24),
 IF(AND(I14&gt;6, I14&lt;10, BL14&gt;=TIME(8,0,0), BL14&lt;TIME(21,0,0)), BL14 + ((I14+0.5)/24),
 IF(AND(I14&gt;10, I14&lt;16.1, BL14&gt;=TIME(7,59,0), BL14&lt;TIME(16,0,0)), BL14 + (I14/24), "")))</f>
        <v/>
      </c>
      <c r="BN14" s="105">
        <f>IF(ISNUMBER(J14), IF(IsBold(J14), TIME(0,0,0), TIME(8,0,0)), "")</f>
        <v>0.33333333333333331</v>
      </c>
      <c r="BO14" s="105">
        <f>IF(BN14=TIME(0,0,0), BN14 + (J14/24),
 IF(AND(J14&gt;6, J14&lt;10, BN14&gt;=TIME(8,0,0), BN14&lt;TIME(21,0,0)), BN14 + ((J14+0.5)/24),
 IF(AND(J14&gt;10, J14&lt;16.1, BN14&gt;=TIME(7,59,0), BN14&lt;TIME(16,0,0)), BN14 + (J14/24), "")))</f>
        <v>1</v>
      </c>
      <c r="BP14" s="105">
        <f>IF(ISNUMBER(K14), IF(IsBold(K14), TIME(0,0,0), TIME(8,0,0)), "")</f>
        <v>0</v>
      </c>
      <c r="BQ14" s="105">
        <f>IF(BP14=TIME(0,0,0), BP14 + (K14/24),
 IF(AND(K14&gt;6, K14&lt;10, BP14&gt;=TIME(8,0,0), BP14&lt;TIME(21,0,0)), BP14 + ((K14+0.5)/24),
 IF(AND(K14&gt;10, K14&lt;16.1, BP14&gt;=TIME(7,59,0), BP14&lt;TIME(16,0,0)), BP14 + (K14/24), "")))</f>
        <v>0.33333333333333331</v>
      </c>
      <c r="BR14" s="106" t="str">
        <f>IF(ISNUMBER(L14), IF(IsBold(L14), TIME(0,0,0), TIME(8,0,0)), "")</f>
        <v/>
      </c>
      <c r="BS14" s="105" t="str">
        <f>IF(BR14=TIME(0,0,0), BR14 + (L14/24),
 IF(AND(L14&gt;6, L14&lt;10, BR14&gt;=TIME(8,0,0), BR14&lt;TIME(21,0,0)), BR14 + ((L14+0.5)/24),
 IF(AND(L14&gt;10, L14&lt;16.1, BR14&gt;=TIME(7,59,0), BR14&lt;TIME(16,0,0)), BR14 + (L14/24), "")))</f>
        <v/>
      </c>
      <c r="BT14" s="106">
        <f>IF(ISNUMBER(M14), IF(IsBold(M14), TIME(0,0,0), TIME(8,0,0)), "")</f>
        <v>0.33333333333333331</v>
      </c>
      <c r="BU14" s="105">
        <f>IF(BT14=TIME(0,0,0), BT14 + (M14/24),
 IF(AND(M14&gt;6, M14&lt;10, BT14&gt;=TIME(8,0,0), BT14&lt;TIME(21,0,0)), BT14 + ((M14+0.5)/24),
 IF(AND(M14&gt;10, M14&lt;16.1, BT14&gt;=TIME(7,59,0), BT14&lt;TIME(16,0,0)), BT14 + (M14/24), "")))</f>
        <v>1</v>
      </c>
      <c r="BV14" s="105">
        <f>IF(ISNUMBER(N14), IF(IsBold(N14), TIME(0,0,0), TIME(8,0,0)), "")</f>
        <v>0</v>
      </c>
      <c r="BW14" s="105">
        <f>IF(BV14=TIME(0,0,0), BV14 + (N14/24),
 IF(AND(N14&gt;6, N14&lt;10, BV14&gt;=TIME(8,0,0), BV14&lt;TIME(21,0,0)), BV14 + ((N14+0.5)/24),
 IF(AND(N14&gt;10, N14&lt;16.1, BV14&gt;=TIME(7,59,0), BV14&lt;TIME(16,0,0)), BV14 + (N14/24), "")))</f>
        <v>0.33333333333333331</v>
      </c>
      <c r="BX14" s="105" t="str">
        <f>IF(ISNUMBER(O14), IF(IsBold(O14), TIME(0,0,0), TIME(8,0,0)), "")</f>
        <v/>
      </c>
      <c r="BY14" s="105" t="str">
        <f>IF(BX14=TIME(0,0,0), BX14 + (O14/24),
 IF(AND(O14&gt;6, O14&lt;10, BX14&gt;=TIME(8,0,0), BX14&lt;TIME(21,0,0)), BX14 + ((O14+0.5)/24),
 IF(AND(O14&gt;10, O14&lt;16.1, BX14&gt;=TIME(7,59,0), BX14&lt;TIME(16,0,0)), BX14 + (O14/24), "")))</f>
        <v/>
      </c>
      <c r="BZ14" s="105" t="str">
        <f>IF(ISNUMBER(P14), IF(IsBold(P14), TIME(0,0,0), TIME(8,0,0)), "")</f>
        <v/>
      </c>
      <c r="CA14" s="105" t="str">
        <f>IF(BZ14=TIME(0,0,0), BZ14 + (P14/24),
 IF(AND(P14&gt;6, P14&lt;10, BZ14&gt;=TIME(8,0,0), BZ14&lt;TIME(21,0,0)), BZ14 + ((P14+0.5)/24),
 IF(AND(P14&gt;10, P14&lt;16.1, BZ14&gt;=TIME(7,59,0), BZ14&lt;TIME(16,0,0)), BZ14 + (P14/24), "")))</f>
        <v/>
      </c>
      <c r="CB14" s="105">
        <f>IF(ISNUMBER(Q14), IF(IsBold(Q14), TIME(0,0,0), TIME(8,0,0)), "")</f>
        <v>0.33333333333333331</v>
      </c>
      <c r="CC14" s="105">
        <f>IF(CB14=TIME(0,0,0), CB14 + (Q14/24),
 IF(AND(Q14&gt;6, Q14&lt;10, CB14&gt;=TIME(8,0,0), CB14&lt;TIME(21,0,0)), CB14 + ((Q14+0.5)/24),
 IF(AND(Q14&gt;10, Q14&lt;16.1, CB14&gt;=TIME(7,59,0), CB14&lt;TIME(16,0,0)), CB14 + (Q14/24), "")))</f>
        <v>1</v>
      </c>
      <c r="CD14" s="105">
        <f>IF(ISNUMBER(R14), IF(IsBold(R14), TIME(0,0,0), TIME(8,0,0)), "")</f>
        <v>0</v>
      </c>
      <c r="CE14" s="105">
        <f>IF(CD14=TIME(0,0,0), CD14 + (R14/24),
 IF(AND(R14&gt;6, R14&lt;10, CD14&gt;=TIME(8,0,0), CD14&lt;TIME(21,0,0)), CD14 + ((R14+0.5)/24),
 IF(AND(R14&gt;10, R14&lt;16.1, CD14&gt;=TIME(7,59,0), CD14&lt;TIME(16,0,0)), CD14 + (R14/24), "")))</f>
        <v>0.33333333333333331</v>
      </c>
      <c r="CF14" s="105" t="str">
        <f>IF(ISNUMBER(S14), IF(IsBold(S14), TIME(0,0,0), TIME(8,0,0)), "")</f>
        <v/>
      </c>
      <c r="CG14" s="105" t="str">
        <f>IF(CF14=TIME(0,0,0), CF14 + (S14/24),
 IF(AND(S14&gt;6, S14&lt;10, CF14&gt;=TIME(8,0,0), CF14&lt;TIME(21,0,0)), CF14 + ((S14+0.5)/24),
 IF(AND(S14&gt;10, S14&lt;16.1, CF14&gt;=TIME(7,59,0), CF14&lt;TIME(16,0,0)), CF14 + (S14/24), "")))</f>
        <v/>
      </c>
      <c r="CM14" s="18">
        <f>A14</f>
        <v>4</v>
      </c>
      <c r="CN14" s="107" t="str">
        <f>B14</f>
        <v>Супронович Т.Ю.</v>
      </c>
      <c r="CO14" s="103" t="str">
        <f>C14</f>
        <v>м/с стаціон.</v>
      </c>
      <c r="CP14" s="104" t="str">
        <f>IF(ISNUMBER(T14), IF(IsBold(T14), TIME(0,0,0), TIME(8,0,0)), "")</f>
        <v/>
      </c>
      <c r="CQ14" s="105" t="str">
        <f>IF(CP14=TIME(0,0,0), CP14 + (T14/24),
 IF(AND(T14&gt;6, T14&lt;10, CP14&gt;=TIME(8,0,0), CP14&lt;TIME(21,0,0)), CP14 + ((T14+0.5)/24),
 IF(AND(T14&gt;10, T14&lt;16.1, CP14&gt;=TIME(7,59,0), CP14&lt;TIME(16,0,0)), CP14 + (T14/24), "")))</f>
        <v/>
      </c>
      <c r="CR14" s="104">
        <f>IF(ISNUMBER(U14), IF(IsBold(U14), TIME(0,0,0), TIME(8,0,0)), "")</f>
        <v>0.33333333333333331</v>
      </c>
      <c r="CS14" s="105">
        <f>IF(CR14=TIME(0,0,0), CR14 + (U14/24),
 IF(AND(U14&gt;6, U14&lt;10, CR14&gt;=TIME(8,0,0), CR14&lt;TIME(21,0,0)), CR14 + ((U14+0.5)/24),
 IF(AND(U14&gt;10, U14&lt;16.1, CR14&gt;=TIME(7,59,0), CR14&lt;TIME(16,0,0)), CR14 + (U14/24), "")))</f>
        <v>1</v>
      </c>
      <c r="CT14" s="105">
        <f>IF(ISNUMBER(V14), IF(IsBold(V14), TIME(0,0,0), TIME(8,0,0)), "")</f>
        <v>0</v>
      </c>
      <c r="CU14" s="105">
        <f>IF(CT14=TIME(0,0,0), CT14 + (V14/24),
 IF(AND(V14&gt;6, V14&lt;10, CT14&gt;=TIME(8,0,0), CT14&lt;TIME(21,0,0)), CT14 + ((V14+0.5)/24),
 IF(AND(V14&gt;10, V14&lt;16.1, CT14&gt;=TIME(7,59,0), CT14&lt;TIME(16,0,0)), CT14 + (V14/24), "")))</f>
        <v>0.33333333333333331</v>
      </c>
      <c r="CV14" s="105" t="str">
        <f>IF(ISNUMBER(W14), IF(IsBold(W14), TIME(0,0,0), TIME(8,0,0)), "")</f>
        <v/>
      </c>
      <c r="CW14" s="105" t="str">
        <f>IF(CV14=TIME(0,0,0), CV14 + (W14/24),
 IF(AND(W14&gt;6, W14&lt;10, CV14&gt;=TIME(8,0,0), CV14&lt;TIME(21,0,0)), CV14 + ((W14+0.5)/24),
 IF(AND(W14&gt;10, W14&lt;16.1, CV14&gt;=TIME(7,59,0), CV14&lt;TIME(16,0,0)), CV14 + (W14/24), "")))</f>
        <v/>
      </c>
      <c r="CX14" s="105" t="str">
        <f>IF(ISNUMBER(X14), IF(IsBold(X14), TIME(0,0,0), TIME(8,0,0)), "")</f>
        <v/>
      </c>
      <c r="CY14" s="105" t="str">
        <f>IF(CX14=TIME(0,0,0), CX14 + (X14/24),
 IF(AND(X14&gt;6, X14&lt;10, CX14&gt;=TIME(8,0,0), CX14&lt;TIME(21,0,0)), CX14 + ((X14+0.5)/24),
 IF(AND(X14&gt;10, X14&lt;16.1, CX14&gt;=TIME(7,59,0), CX14&lt;TIME(16,0,0)), CX14 + (X14/24), "")))</f>
        <v/>
      </c>
      <c r="CZ14" s="105">
        <f>IF(ISNUMBER(Y14), IF(IsBold(Y14), TIME(0,0,0), TIME(8,0,0)), "")</f>
        <v>0.33333333333333331</v>
      </c>
      <c r="DA14" s="105">
        <f>IF(CZ14=TIME(0,0,0), CZ14 + (Y14/24),
 IF(AND(Y14&gt;6, Y14&lt;10, CZ14&gt;=TIME(8,0,0), CZ14&lt;TIME(21,0,0)), CZ14 + ((Y14+0.5)/24),
 IF(AND(Y14&gt;10, Y14&lt;16.1, CZ14&gt;=TIME(7,59,0), CZ14&lt;TIME(16,0,0)), CZ14 + (Y14/24), "")))</f>
        <v>1</v>
      </c>
      <c r="DB14" s="105">
        <f>IF(ISNUMBER(Z14), IF(IsBold(Z14), TIME(0,0,0), TIME(8,0,0)), "")</f>
        <v>0</v>
      </c>
      <c r="DC14" s="105">
        <f>IF(DB14=TIME(0,0,0), DB14 + (Z14/24),
 IF(AND(Z14&gt;6, Z14&lt;10, DB14&gt;=TIME(8,0,0), DB14&lt;TIME(21,0,0)), DB14 + ((Z14+0.5)/24),
 IF(AND(Z14&gt;10, Z14&lt;16.1, DB14&gt;=TIME(7,59,0), DB14&lt;TIME(16,0,0)), DB14 + (Z14/24), "")))</f>
        <v>0.33333333333333331</v>
      </c>
      <c r="DD14" s="106" t="str">
        <f>IF(ISNUMBER(AA14), IF(IsBold(AA14), TIME(0,0,0), TIME(8,0,0)), "")</f>
        <v/>
      </c>
      <c r="DE14" s="105" t="str">
        <f>IF(DD14=TIME(0,0,0), DD14 + (AA14/24),
 IF(AND(AA14&gt;6, AA14&lt;10, DD14&gt;=TIME(8,0,0), DD14&lt;TIME(21,0,0)), DD14 + ((AA14+0.5)/24),
 IF(AND(AA14&gt;10, AA14&lt;16.1, DD14&gt;=TIME(7,59,0), DD14&lt;TIME(16,0,0)), DD14 + (AA14/24), "")))</f>
        <v/>
      </c>
      <c r="DF14" s="106" t="str">
        <f>IF(ISNUMBER(AB14), IF(IsBold(AB14), TIME(0,0,0), TIME(8,0,0)), "")</f>
        <v/>
      </c>
      <c r="DG14" s="105" t="str">
        <f>IF(DF14=TIME(0,0,0), DF14 + (AB14/24),
 IF(AND(AB14&gt;6, AB14&lt;10, DF14&gt;=TIME(8,0,0), DF14&lt;TIME(21,0,0)), DF14 + ((AB14+0.5)/24),
 IF(AND(AB14&gt;10, AB14&lt;16.1, DF14&gt;=TIME(7,59,0), DF14&lt;TIME(16,0,0)), DF14 + (AB14/24), "")))</f>
        <v/>
      </c>
      <c r="DH14" s="105" t="str">
        <f>IF(ISNUMBER(AC14), IF(IsBold(AC14), TIME(0,0,0), TIME(8,0,0)), "")</f>
        <v/>
      </c>
      <c r="DI14" s="105" t="str">
        <f>IF(DH14=TIME(0,0,0), DH14 + (AC14/24),
 IF(AND(AC14&gt;6, AC14&lt;10, DH14&gt;=TIME(8,0,0), DH14&lt;TIME(21,0,0)), DH14 + ((AC14+0.5)/24),
 IF(AND(AC14&gt;10, AC14&lt;16.1, DH14&gt;=TIME(7,59,0), DH14&lt;TIME(16,0,0)), DH14 + (AC14/24), "")))</f>
        <v/>
      </c>
      <c r="DJ14" s="105" t="str">
        <f>IF(ISNUMBER(AD14), IF(IsBold(AD14), TIME(0,0,0), TIME(8,0,0)), "")</f>
        <v/>
      </c>
      <c r="DK14" s="105" t="str">
        <f>IF(DJ14=TIME(0,0,0), DJ14 + (AD14/24),
 IF(AND(AD14&gt;6, AD14&lt;10, DJ14&gt;=TIME(8,0,0), DJ14&lt;TIME(21,0,0)), DJ14 + ((AD14+0.5)/24),
 IF(AND(AD14&gt;10, AD14&lt;16.1, DJ14&gt;=TIME(7,59,0), DJ14&lt;TIME(16,0,0)), DJ14 + (AD14/24), "")))</f>
        <v/>
      </c>
      <c r="DL14" s="105">
        <f>IF(ISNUMBER(AE14), IF(IsBold(AE14), TIME(0,0,0), TIME(8,0,0)), "")</f>
        <v>0.33333333333333331</v>
      </c>
      <c r="DM14" s="105">
        <f>IF(DL14=TIME(0,0,0), DL14 + (AE14/24),
 IF(AND(AE14&gt;6, AE14&lt;10, DL14&gt;=TIME(8,0,0), DL14&lt;TIME(21,0,0)), DL14 + ((AE14+0.5)/24),
 IF(AND(AE14&gt;10, AE14&lt;16.1, DL14&gt;=TIME(7,59,0), DL14&lt;TIME(16,0,0)), DL14 + (AE14/24), "")))</f>
        <v>1</v>
      </c>
      <c r="DN14" s="105">
        <f>IF(ISNUMBER(AF14), IF(IsBold(AF14), TIME(0,0,0), TIME(8,0,0)), "")</f>
        <v>0</v>
      </c>
      <c r="DO14" s="105">
        <f>IF(DN14=TIME(0,0,0), DN14 + (AF14/24),
 IF(AND(AF14&gt;6, AF14&lt;10, DN14&gt;=TIME(8,0,0), DN14&lt;TIME(21,0,0)), DN14 + ((AF14+0.5)/24),
 IF(AND(AF14&gt;10, AF14&lt;16.1, DN14&gt;=TIME(7,59,0), DN14&lt;TIME(16,0,0)), DN14 + (AF14/24), "")))</f>
        <v>0.33333333333333331</v>
      </c>
      <c r="DP14" s="105" t="str">
        <f>IF(ISNUMBER(AG14), IF(IsBold(AG14), TIME(0,0,0), TIME(8,0,0)), "")</f>
        <v/>
      </c>
      <c r="DQ14" s="105" t="str">
        <f>IF(DP14=TIME(0,0,0), DP14 + (AG14/24),
 IF(AND(AG14&gt;6, AG14&lt;10, DP14&gt;=TIME(8,0,0), DP14&lt;TIME(21,0,0)), DP14 + ((AG14+0.5)/24),
 IF(AND(AG14&gt;10, AG14&lt;16.1, DP14&gt;=TIME(7,59,0), DP14&lt;TIME(16,0,0)), DP14 + (AG14/24), "")))</f>
        <v/>
      </c>
      <c r="DR14" s="105" t="str">
        <f>IF(ISNUMBER(AH14), IF(IsBold(AH14), TIME(0,0,0), TIME(8,0,0)), "")</f>
        <v/>
      </c>
      <c r="DS14" s="105" t="str">
        <f>IF(DR14=TIME(0,0,0), DR14 + (AH14/24),
 IF(AND(AH14&gt;6, AH14&lt;10, DR14&gt;=TIME(8,0,0), DR14&lt;TIME(21,0,0)), DR14 + ((AH14+0.5)/24),
 IF(AND(AH14&gt;10, AH14&lt;16.1, DR14&gt;=TIME(7,59,0), DR14&lt;TIME(16,0,0)), DR14 + (AH14/24), "")))</f>
        <v/>
      </c>
      <c r="DT14" s="105" t="str">
        <f>IF(ISNUMBER(AI14), IF(IsBold(AI14), TIME(0,0,0), TIME(8,0,0)), "")</f>
        <v/>
      </c>
      <c r="DU14" s="105" t="str">
        <f>IF(DT14=TIME(0,0,0), DT14 + (AI14/24),
 IF(AND(AI14&gt;6, AI14&lt;10, DT14&gt;=TIME(8,0,0), DT14&lt;TIME(21,0,0)), DT14 + ((AI14+0.5)/24),
 IF(AND(AI14&gt;10, AI14&lt;16.1, DT14&gt;=TIME(7,59,0), DT14&lt;TIME(16,0,0)), DT14 + (AI14/24), "")))</f>
        <v/>
      </c>
      <c r="DV14" s="110">
        <f t="shared" si="2"/>
        <v>168</v>
      </c>
    </row>
    <row r="15" spans="1:126" ht="15" thickBot="1" x14ac:dyDescent="0.35">
      <c r="A15" s="12">
        <v>5</v>
      </c>
      <c r="B15" s="76"/>
      <c r="C15" s="77"/>
      <c r="D15" s="78"/>
      <c r="E15" s="73"/>
      <c r="F15" s="81"/>
      <c r="G15" s="79"/>
      <c r="H15" s="75"/>
      <c r="I15" s="81"/>
      <c r="J15" s="81"/>
      <c r="K15" s="79"/>
      <c r="L15" s="75"/>
      <c r="M15" s="81"/>
      <c r="N15" s="81"/>
      <c r="O15" s="79"/>
      <c r="P15" s="75"/>
      <c r="Q15" s="81"/>
      <c r="R15" s="81"/>
      <c r="S15" s="79"/>
      <c r="T15" s="75"/>
      <c r="U15" s="81"/>
      <c r="V15" s="81"/>
      <c r="W15" s="79"/>
      <c r="X15" s="75"/>
      <c r="Y15" s="81"/>
      <c r="Z15" s="81"/>
      <c r="AA15" s="79"/>
      <c r="AB15" s="75"/>
      <c r="AC15" s="81"/>
      <c r="AD15" s="81"/>
      <c r="AE15" s="79"/>
      <c r="AF15" s="75"/>
      <c r="AG15" s="73"/>
      <c r="AH15" s="73"/>
      <c r="AI15" s="73"/>
      <c r="AJ15" s="90">
        <f>COUNTIFS(E15:AI15,"&gt;0", E15:AI15,"&lt;&gt;"&amp;"")</f>
        <v>0</v>
      </c>
      <c r="AK15" s="91">
        <f>COUNTIF(E15:AI15, "ВП")</f>
        <v>0</v>
      </c>
      <c r="AL15" s="95">
        <f>COUNTIF(E15:AI15, "ВД")</f>
        <v>0</v>
      </c>
      <c r="AM15" s="91">
        <f>SumBoldNumbers(E15:AI15)</f>
        <v>0</v>
      </c>
      <c r="AN15" s="91">
        <f>SUM(CountWeekendDays(E10)+COUNTIF(E15:AI15,"С"))</f>
        <v>9</v>
      </c>
      <c r="AO15" s="96">
        <f>SUM(E15:AI15)</f>
        <v>0</v>
      </c>
      <c r="AP15" s="93">
        <f>(DAY(EOMONTH(E10, 0)) - AN15 - AK15) * AU15  * D15</f>
        <v>0</v>
      </c>
      <c r="AQ15" s="94">
        <f t="shared" ref="AQ15" si="4">AP15 - AO15</f>
        <v>0</v>
      </c>
      <c r="AR15" s="101" t="e">
        <f t="shared" si="3"/>
        <v>#DIV/0!</v>
      </c>
      <c r="AS15" s="16"/>
      <c r="AT15" s="16"/>
      <c r="AU15" s="31">
        <f>IF(C15="вихователь", 6, IF(C15="каштелян", 8, IF(C15="буфетниця", 8, IF(C15="молодша м/с", 8, IF(C15="сестр. госп.", 8, 7.7)))))</f>
        <v>7.7</v>
      </c>
      <c r="AV15" s="31" t="s">
        <v>24</v>
      </c>
      <c r="AW15" s="30"/>
      <c r="AX15" s="30"/>
      <c r="BA15" s="18">
        <f>A15</f>
        <v>5</v>
      </c>
      <c r="BB15" s="102">
        <f>B15</f>
        <v>0</v>
      </c>
      <c r="BC15" s="103">
        <f>C15</f>
        <v>0</v>
      </c>
      <c r="BD15" s="104" t="str">
        <f>IF(ISNUMBER(E15), IF(IsBold(E15), TIME(0,0,0), TIME(8,0,0)), "")</f>
        <v/>
      </c>
      <c r="BE15" s="105" t="str">
        <f>IF(BD15=TIME(0,0,0), BD15 + (E15/24),
 IF(AND(E15&gt;6, E15&lt;10, BD15&gt;=TIME(8,0,0), BD15&lt;TIME(21,0,0)), BD15 + ((E15+0.5)/24),
 IF(AND(E15&gt;10, E15&lt;16.1, BD15&gt;=TIME(7,59,0), BD15&lt;TIME(16,0,0)), BD15 + (E15/24), "")))</f>
        <v/>
      </c>
      <c r="BF15" s="105" t="str">
        <f>IF(ISNUMBER(F15), IF(IsBold(F15), TIME(0,0,0), TIME(8,0,0)), "")</f>
        <v/>
      </c>
      <c r="BG15" s="105" t="str">
        <f>IF(BF15=TIME(0,0,0), BF15 + (F15/24),
 IF(AND(F15&gt;6, F15&lt;10, BF15&gt;=TIME(8,0,0), BF15&lt;TIME(21,0,0)), BF15 + ((F15+0.5)/24),
 IF(AND(F15&gt;10, F15&lt;16.1, BF15&gt;=TIME(7,59,0), BF15&lt;TIME(16,0,0)), BF15 + (F15/24), "")))</f>
        <v/>
      </c>
      <c r="BH15" s="105" t="str">
        <f>IF(ISNUMBER(G15), IF(IsBold(G15), TIME(0,0,0), TIME(8,0,0)), "")</f>
        <v/>
      </c>
      <c r="BI15" s="105" t="str">
        <f>IF(BH15=TIME(0,0,0), BH15 + (G15/24),
 IF(AND(G15&gt;6, G15&lt;10, BH15&gt;=TIME(8,0,0), BH15&lt;TIME(21,0,0)), BH15 + ((G15+0.5)/24),
 IF(AND(G15&gt;10, G15&lt;16.1, BH15&gt;=TIME(7,59,0), BH15&lt;TIME(16,0,0)), BH15 + (G15/24), "")))</f>
        <v/>
      </c>
      <c r="BJ15" s="105" t="str">
        <f>IF(ISNUMBER(H15), IF(IsBold(H15), TIME(0,0,0), TIME(8,0,0)), "")</f>
        <v/>
      </c>
      <c r="BK15" s="105" t="str">
        <f>IF(BJ15=TIME(0,0,0), BJ15 + (H15/24),
 IF(AND(H15&gt;6, H15&lt;10, BJ15&gt;=TIME(8,0,0), BJ15&lt;TIME(21,0,0)), BJ15 + ((H15+0.5)/24),
 IF(AND(H15&gt;10, H15&lt;16.1, BJ15&gt;=TIME(7,59,0), BJ15&lt;TIME(16,0,0)), BJ15 + (H15/24), "")))</f>
        <v/>
      </c>
      <c r="BL15" s="105" t="str">
        <f>IF(ISNUMBER(I15), IF(IsBold(I15), TIME(0,0,0), TIME(8,0,0)), "")</f>
        <v/>
      </c>
      <c r="BM15" s="105" t="str">
        <f>IF(BL15=TIME(0,0,0), BL15 + (I15/24),
 IF(AND(I15&gt;6, I15&lt;10, BL15&gt;=TIME(8,0,0), BL15&lt;TIME(21,0,0)), BL15 + ((I15+0.5)/24),
 IF(AND(I15&gt;10, I15&lt;16.1, BL15&gt;=TIME(7,59,0), BL15&lt;TIME(16,0,0)), BL15 + (I15/24), "")))</f>
        <v/>
      </c>
      <c r="BN15" s="105" t="str">
        <f>IF(ISNUMBER(J15), IF(IsBold(J15), TIME(0,0,0), TIME(8,0,0)), "")</f>
        <v/>
      </c>
      <c r="BO15" s="105" t="str">
        <f>IF(BN15=TIME(0,0,0), BN15 + (J15/24),
 IF(AND(J15&gt;6, J15&lt;10, BN15&gt;=TIME(8,0,0), BN15&lt;TIME(21,0,0)), BN15 + ((J15+0.5)/24),
 IF(AND(J15&gt;10, J15&lt;16.1, BN15&gt;=TIME(7,59,0), BN15&lt;TIME(16,0,0)), BN15 + (J15/24), "")))</f>
        <v/>
      </c>
      <c r="BP15" s="105" t="str">
        <f>IF(ISNUMBER(K15), IF(IsBold(K15), TIME(0,0,0), TIME(8,0,0)), "")</f>
        <v/>
      </c>
      <c r="BQ15" s="105" t="str">
        <f>IF(BP15=TIME(0,0,0), BP15 + (K15/24),
 IF(AND(K15&gt;6, K15&lt;10, BP15&gt;=TIME(8,0,0), BP15&lt;TIME(21,0,0)), BP15 + ((K15+0.5)/24),
 IF(AND(K15&gt;10, K15&lt;16.1, BP15&gt;=TIME(7,59,0), BP15&lt;TIME(16,0,0)), BP15 + (K15/24), "")))</f>
        <v/>
      </c>
      <c r="BR15" s="106" t="str">
        <f>IF(ISNUMBER(L15), IF(IsBold(L15), TIME(0,0,0), TIME(8,0,0)), "")</f>
        <v/>
      </c>
      <c r="BS15" s="105" t="str">
        <f>IF(BR15=TIME(0,0,0), BR15 + (L15/24),
 IF(AND(L15&gt;6, L15&lt;10, BR15&gt;=TIME(8,0,0), BR15&lt;TIME(21,0,0)), BR15 + ((L15+0.5)/24),
 IF(AND(L15&gt;10, L15&lt;16.1, BR15&gt;=TIME(7,59,0), BR15&lt;TIME(16,0,0)), BR15 + (L15/24), "")))</f>
        <v/>
      </c>
      <c r="BT15" s="106" t="str">
        <f>IF(ISNUMBER(M15), IF(IsBold(M15), TIME(0,0,0), TIME(8,0,0)), "")</f>
        <v/>
      </c>
      <c r="BU15" s="105" t="str">
        <f>IF(BT15=TIME(0,0,0), BT15 + (M15/24),
 IF(AND(M15&gt;6, M15&lt;10, BT15&gt;=TIME(8,0,0), BT15&lt;TIME(21,0,0)), BT15 + ((M15+0.5)/24),
 IF(AND(M15&gt;10, M15&lt;16.1, BT15&gt;=TIME(7,59,0), BT15&lt;TIME(16,0,0)), BT15 + (M15/24), "")))</f>
        <v/>
      </c>
      <c r="BV15" s="105" t="str">
        <f>IF(ISNUMBER(N15), IF(IsBold(N15), TIME(0,0,0), TIME(8,0,0)), "")</f>
        <v/>
      </c>
      <c r="BW15" s="105" t="str">
        <f>IF(BV15=TIME(0,0,0), BV15 + (N15/24),
 IF(AND(N15&gt;6, N15&lt;10, BV15&gt;=TIME(8,0,0), BV15&lt;TIME(21,0,0)), BV15 + ((N15+0.5)/24),
 IF(AND(N15&gt;10, N15&lt;16.1, BV15&gt;=TIME(7,59,0), BV15&lt;TIME(16,0,0)), BV15 + (N15/24), "")))</f>
        <v/>
      </c>
      <c r="BX15" s="105" t="str">
        <f>IF(ISNUMBER(O15), IF(IsBold(O15), TIME(0,0,0), TIME(8,0,0)), "")</f>
        <v/>
      </c>
      <c r="BY15" s="105" t="str">
        <f>IF(BX15=TIME(0,0,0), BX15 + (O15/24),
 IF(AND(O15&gt;6, O15&lt;10, BX15&gt;=TIME(8,0,0), BX15&lt;TIME(21,0,0)), BX15 + ((O15+0.5)/24),
 IF(AND(O15&gt;10, O15&lt;16.1, BX15&gt;=TIME(7,59,0), BX15&lt;TIME(16,0,0)), BX15 + (O15/24), "")))</f>
        <v/>
      </c>
      <c r="BZ15" s="105" t="str">
        <f>IF(ISNUMBER(P15), IF(IsBold(P15), TIME(0,0,0), TIME(8,0,0)), "")</f>
        <v/>
      </c>
      <c r="CA15" s="105" t="str">
        <f>IF(BZ15=TIME(0,0,0), BZ15 + (P15/24),
 IF(AND(P15&gt;6, P15&lt;10, BZ15&gt;=TIME(8,0,0), BZ15&lt;TIME(21,0,0)), BZ15 + ((P15+0.5)/24),
 IF(AND(P15&gt;10, P15&lt;16.1, BZ15&gt;=TIME(7,59,0), BZ15&lt;TIME(16,0,0)), BZ15 + (P15/24), "")))</f>
        <v/>
      </c>
      <c r="CB15" s="105" t="str">
        <f>IF(ISNUMBER(Q15), IF(IsBold(Q15), TIME(0,0,0), TIME(8,0,0)), "")</f>
        <v/>
      </c>
      <c r="CC15" s="105" t="str">
        <f>IF(CB15=TIME(0,0,0), CB15 + (Q15/24),
 IF(AND(Q15&gt;6, Q15&lt;10, CB15&gt;=TIME(8,0,0), CB15&lt;TIME(21,0,0)), CB15 + ((Q15+0.5)/24),
 IF(AND(Q15&gt;10, Q15&lt;16.1, CB15&gt;=TIME(7,59,0), CB15&lt;TIME(16,0,0)), CB15 + (Q15/24), "")))</f>
        <v/>
      </c>
      <c r="CD15" s="105" t="str">
        <f>IF(ISNUMBER(R15), IF(IsBold(R15), TIME(0,0,0), TIME(8,0,0)), "")</f>
        <v/>
      </c>
      <c r="CE15" s="105" t="str">
        <f>IF(CD15=TIME(0,0,0), CD15 + (R15/24),
 IF(AND(R15&gt;6, R15&lt;10, CD15&gt;=TIME(8,0,0), CD15&lt;TIME(21,0,0)), CD15 + ((R15+0.5)/24),
 IF(AND(R15&gt;10, R15&lt;16.1, CD15&gt;=TIME(7,59,0), CD15&lt;TIME(16,0,0)), CD15 + (R15/24), "")))</f>
        <v/>
      </c>
      <c r="CF15" s="105" t="str">
        <f>IF(ISNUMBER(S15), IF(IsBold(S15), TIME(0,0,0), TIME(8,0,0)), "")</f>
        <v/>
      </c>
      <c r="CG15" s="105" t="str">
        <f>IF(CF15=TIME(0,0,0), CF15 + (S15/24),
 IF(AND(S15&gt;6, S15&lt;10, CF15&gt;=TIME(8,0,0), CF15&lt;TIME(21,0,0)), CF15 + ((S15+0.5)/24),
 IF(AND(S15&gt;10, S15&lt;16.1, CF15&gt;=TIME(7,59,0), CF15&lt;TIME(16,0,0)), CF15 + (S15/24), "")))</f>
        <v/>
      </c>
      <c r="CM15" s="18">
        <f>A15</f>
        <v>5</v>
      </c>
      <c r="CN15" s="107">
        <f>B15</f>
        <v>0</v>
      </c>
      <c r="CO15" s="103">
        <f>C15</f>
        <v>0</v>
      </c>
      <c r="CP15" s="104" t="str">
        <f>IF(ISNUMBER(T15), IF(IsBold(T15), TIME(0,0,0), TIME(8,0,0)), "")</f>
        <v/>
      </c>
      <c r="CQ15" s="105" t="str">
        <f>IF(CP15=TIME(0,0,0), CP15 + (T15/24),
 IF(AND(T15&gt;6, T15&lt;10, CP15&gt;=TIME(8,0,0), CP15&lt;TIME(21,0,0)), CP15 + ((T15+0.5)/24),
 IF(AND(T15&gt;10, T15&lt;16.1, CP15&gt;=TIME(7,59,0), CP15&lt;TIME(16,0,0)), CP15 + (T15/24), "")))</f>
        <v/>
      </c>
      <c r="CR15" s="104" t="str">
        <f>IF(ISNUMBER(U15), IF(IsBold(U15), TIME(0,0,0), TIME(8,0,0)), "")</f>
        <v/>
      </c>
      <c r="CS15" s="105" t="str">
        <f>IF(CR15=TIME(0,0,0), CR15 + (U15/24),
 IF(AND(U15&gt;6, U15&lt;10, CR15&gt;=TIME(8,0,0), CR15&lt;TIME(21,0,0)), CR15 + ((U15+0.5)/24),
 IF(AND(U15&gt;10, U15&lt;16.1, CR15&gt;=TIME(7,59,0), CR15&lt;TIME(16,0,0)), CR15 + (U15/24), "")))</f>
        <v/>
      </c>
      <c r="CT15" s="105" t="str">
        <f>IF(ISNUMBER(V15), IF(IsBold(V15), TIME(0,0,0), TIME(8,0,0)), "")</f>
        <v/>
      </c>
      <c r="CU15" s="105" t="str">
        <f>IF(CT15=TIME(0,0,0), CT15 + (V15/24),
 IF(AND(V15&gt;6, V15&lt;10, CT15&gt;=TIME(8,0,0), CT15&lt;TIME(21,0,0)), CT15 + ((V15+0.5)/24),
 IF(AND(V15&gt;10, V15&lt;16.1, CT15&gt;=TIME(7,59,0), CT15&lt;TIME(16,0,0)), CT15 + (V15/24), "")))</f>
        <v/>
      </c>
      <c r="CV15" s="105" t="str">
        <f>IF(ISNUMBER(W15), IF(IsBold(W15), TIME(0,0,0), TIME(8,0,0)), "")</f>
        <v/>
      </c>
      <c r="CW15" s="105" t="str">
        <f>IF(CV15=TIME(0,0,0), CV15 + (W15/24),
 IF(AND(W15&gt;6, W15&lt;10, CV15&gt;=TIME(8,0,0), CV15&lt;TIME(21,0,0)), CV15 + ((W15+0.5)/24),
 IF(AND(W15&gt;10, W15&lt;16.1, CV15&gt;=TIME(7,59,0), CV15&lt;TIME(16,0,0)), CV15 + (W15/24), "")))</f>
        <v/>
      </c>
      <c r="CX15" s="105" t="str">
        <f>IF(ISNUMBER(X15), IF(IsBold(X15), TIME(0,0,0), TIME(8,0,0)), "")</f>
        <v/>
      </c>
      <c r="CY15" s="105" t="str">
        <f>IF(CX15=TIME(0,0,0), CX15 + (X15/24),
 IF(AND(X15&gt;6, X15&lt;10, CX15&gt;=TIME(8,0,0), CX15&lt;TIME(21,0,0)), CX15 + ((X15+0.5)/24),
 IF(AND(X15&gt;10, X15&lt;16.1, CX15&gt;=TIME(7,59,0), CX15&lt;TIME(16,0,0)), CX15 + (X15/24), "")))</f>
        <v/>
      </c>
      <c r="CZ15" s="105" t="str">
        <f>IF(ISNUMBER(Y15), IF(IsBold(Y15), TIME(0,0,0), TIME(8,0,0)), "")</f>
        <v/>
      </c>
      <c r="DA15" s="105" t="str">
        <f>IF(CZ15=TIME(0,0,0), CZ15 + (Y15/24),
 IF(AND(Y15&gt;6, Y15&lt;10, CZ15&gt;=TIME(8,0,0), CZ15&lt;TIME(21,0,0)), CZ15 + ((Y15+0.5)/24),
 IF(AND(Y15&gt;10, Y15&lt;16.1, CZ15&gt;=TIME(7,59,0), CZ15&lt;TIME(16,0,0)), CZ15 + (Y15/24), "")))</f>
        <v/>
      </c>
      <c r="DB15" s="105" t="str">
        <f>IF(ISNUMBER(Z15), IF(IsBold(Z15), TIME(0,0,0), TIME(8,0,0)), "")</f>
        <v/>
      </c>
      <c r="DC15" s="105" t="str">
        <f>IF(DB15=TIME(0,0,0), DB15 + (Z15/24),
 IF(AND(Z15&gt;6, Z15&lt;10, DB15&gt;=TIME(8,0,0), DB15&lt;TIME(21,0,0)), DB15 + ((Z15+0.5)/24),
 IF(AND(Z15&gt;10, Z15&lt;16.1, DB15&gt;=TIME(7,59,0), DB15&lt;TIME(16,0,0)), DB15 + (Z15/24), "")))</f>
        <v/>
      </c>
      <c r="DD15" s="106" t="str">
        <f>IF(ISNUMBER(AA15), IF(IsBold(AA15), TIME(0,0,0), TIME(8,0,0)), "")</f>
        <v/>
      </c>
      <c r="DE15" s="105" t="str">
        <f>IF(DD15=TIME(0,0,0), DD15 + (AA15/24),
 IF(AND(AA15&gt;6, AA15&lt;10, DD15&gt;=TIME(8,0,0), DD15&lt;TIME(21,0,0)), DD15 + ((AA15+0.5)/24),
 IF(AND(AA15&gt;10, AA15&lt;16.1, DD15&gt;=TIME(7,59,0), DD15&lt;TIME(16,0,0)), DD15 + (AA15/24), "")))</f>
        <v/>
      </c>
      <c r="DF15" s="106" t="str">
        <f>IF(ISNUMBER(AB15), IF(IsBold(AB15), TIME(0,0,0), TIME(8,0,0)), "")</f>
        <v/>
      </c>
      <c r="DG15" s="105" t="str">
        <f>IF(DF15=TIME(0,0,0), DF15 + (AB15/24),
 IF(AND(AB15&gt;6, AB15&lt;10, DF15&gt;=TIME(8,0,0), DF15&lt;TIME(21,0,0)), DF15 + ((AB15+0.5)/24),
 IF(AND(AB15&gt;10, AB15&lt;16.1, DF15&gt;=TIME(7,59,0), DF15&lt;TIME(16,0,0)), DF15 + (AB15/24), "")))</f>
        <v/>
      </c>
      <c r="DH15" s="105" t="str">
        <f>IF(ISNUMBER(AC15), IF(IsBold(AC15), TIME(0,0,0), TIME(8,0,0)), "")</f>
        <v/>
      </c>
      <c r="DI15" s="105" t="str">
        <f>IF(DH15=TIME(0,0,0), DH15 + (AC15/24),
 IF(AND(AC15&gt;6, AC15&lt;10, DH15&gt;=TIME(8,0,0), DH15&lt;TIME(21,0,0)), DH15 + ((AC15+0.5)/24),
 IF(AND(AC15&gt;10, AC15&lt;16.1, DH15&gt;=TIME(7,59,0), DH15&lt;TIME(16,0,0)), DH15 + (AC15/24), "")))</f>
        <v/>
      </c>
      <c r="DJ15" s="105" t="str">
        <f>IF(ISNUMBER(AD15), IF(IsBold(AD15), TIME(0,0,0), TIME(8,0,0)), "")</f>
        <v/>
      </c>
      <c r="DK15" s="105" t="str">
        <f>IF(DJ15=TIME(0,0,0), DJ15 + (AD15/24),
 IF(AND(AD15&gt;6, AD15&lt;10, DJ15&gt;=TIME(8,0,0), DJ15&lt;TIME(21,0,0)), DJ15 + ((AD15+0.5)/24),
 IF(AND(AD15&gt;10, AD15&lt;16.1, DJ15&gt;=TIME(7,59,0), DJ15&lt;TIME(16,0,0)), DJ15 + (AD15/24), "")))</f>
        <v/>
      </c>
      <c r="DL15" s="105" t="str">
        <f>IF(ISNUMBER(AE15), IF(IsBold(AE15), TIME(0,0,0), TIME(8,0,0)), "")</f>
        <v/>
      </c>
      <c r="DM15" s="105" t="str">
        <f>IF(DL15=TIME(0,0,0), DL15 + (AE15/24),
 IF(AND(AE15&gt;6, AE15&lt;10, DL15&gt;=TIME(8,0,0), DL15&lt;TIME(21,0,0)), DL15 + ((AE15+0.5)/24),
 IF(AND(AE15&gt;10, AE15&lt;16.1, DL15&gt;=TIME(7,59,0), DL15&lt;TIME(16,0,0)), DL15 + (AE15/24), "")))</f>
        <v/>
      </c>
      <c r="DN15" s="105" t="str">
        <f>IF(ISNUMBER(AF15), IF(IsBold(AF15), TIME(0,0,0), TIME(8,0,0)), "")</f>
        <v/>
      </c>
      <c r="DO15" s="105" t="str">
        <f>IF(DN15=TIME(0,0,0), DN15 + (AF15/24),
 IF(AND(AF15&gt;6, AF15&lt;10, DN15&gt;=TIME(8,0,0), DN15&lt;TIME(21,0,0)), DN15 + ((AF15+0.5)/24),
 IF(AND(AF15&gt;10, AF15&lt;16.1, DN15&gt;=TIME(7,59,0), DN15&lt;TIME(16,0,0)), DN15 + (AF15/24), "")))</f>
        <v/>
      </c>
      <c r="DP15" s="105" t="str">
        <f>IF(ISNUMBER(AG15), IF(IsBold(AG15), TIME(0,0,0), TIME(8,0,0)), "")</f>
        <v/>
      </c>
      <c r="DQ15" s="105" t="str">
        <f>IF(DP15=TIME(0,0,0), DP15 + (AG15/24),
 IF(AND(AG15&gt;6, AG15&lt;10, DP15&gt;=TIME(8,0,0), DP15&lt;TIME(21,0,0)), DP15 + ((AG15+0.5)/24),
 IF(AND(AG15&gt;10, AG15&lt;16.1, DP15&gt;=TIME(7,59,0), DP15&lt;TIME(16,0,0)), DP15 + (AG15/24), "")))</f>
        <v/>
      </c>
      <c r="DR15" s="105" t="str">
        <f>IF(ISNUMBER(AH15), IF(IsBold(AH15), TIME(0,0,0), TIME(8,0,0)), "")</f>
        <v/>
      </c>
      <c r="DS15" s="105" t="str">
        <f>IF(DR15=TIME(0,0,0), DR15 + (AH15/24),
 IF(AND(AH15&gt;6, AH15&lt;10, DR15&gt;=TIME(8,0,0), DR15&lt;TIME(21,0,0)), DR15 + ((AH15+0.5)/24),
 IF(AND(AH15&gt;10, AH15&lt;16.1, DR15&gt;=TIME(7,59,0), DR15&lt;TIME(16,0,0)), DR15 + (AH15/24), "")))</f>
        <v/>
      </c>
      <c r="DT15" s="105" t="str">
        <f>IF(ISNUMBER(AI15), IF(IsBold(AI15), TIME(0,0,0), TIME(8,0,0)), "")</f>
        <v/>
      </c>
      <c r="DU15" s="105" t="str">
        <f>IF(DT15=TIME(0,0,0), DT15 + (AI15/24),
 IF(AND(AI15&gt;6, AI15&lt;10, DT15&gt;=TIME(8,0,0), DT15&lt;TIME(21,0,0)), DT15 + ((AI15+0.5)/24),
 IF(AND(AI15&gt;10, AI15&lt;16.1, DT15&gt;=TIME(7,59,0), DT15&lt;TIME(16,0,0)), DT15 + (AI15/24), "")))</f>
        <v/>
      </c>
      <c r="DV15" s="110">
        <f t="shared" si="2"/>
        <v>0</v>
      </c>
    </row>
    <row r="16" spans="1:126" ht="15" thickBot="1" x14ac:dyDescent="0.35">
      <c r="A16" s="12">
        <v>6</v>
      </c>
      <c r="B16" s="76"/>
      <c r="C16" s="77"/>
      <c r="D16" s="78"/>
      <c r="E16" s="74"/>
      <c r="F16" s="82"/>
      <c r="G16" s="83"/>
      <c r="H16" s="84"/>
      <c r="I16" s="82"/>
      <c r="J16" s="82"/>
      <c r="K16" s="83"/>
      <c r="L16" s="84"/>
      <c r="M16" s="82"/>
      <c r="N16" s="82"/>
      <c r="O16" s="83"/>
      <c r="P16" s="84"/>
      <c r="Q16" s="82"/>
      <c r="R16" s="82"/>
      <c r="S16" s="83"/>
      <c r="T16" s="84"/>
      <c r="U16" s="82"/>
      <c r="V16" s="82"/>
      <c r="W16" s="83"/>
      <c r="X16" s="84"/>
      <c r="Y16" s="82"/>
      <c r="Z16" s="82"/>
      <c r="AA16" s="83"/>
      <c r="AB16" s="84"/>
      <c r="AC16" s="82"/>
      <c r="AD16" s="82"/>
      <c r="AE16" s="83"/>
      <c r="AF16" s="84"/>
      <c r="AG16" s="74"/>
      <c r="AH16" s="74"/>
      <c r="AI16" s="74"/>
      <c r="AJ16" s="90">
        <f>COUNTIFS(E16:AI16,"&gt;0", E16:AI16,"&lt;&gt;"&amp;"")</f>
        <v>0</v>
      </c>
      <c r="AK16" s="91">
        <f>COUNTIF(E16:AI16, "ВП")</f>
        <v>0</v>
      </c>
      <c r="AL16" s="95">
        <f>COUNTIF(E16:AI16, "ВД")</f>
        <v>0</v>
      </c>
      <c r="AM16" s="91">
        <f>SumBoldNumbers(E16:AI16)</f>
        <v>0</v>
      </c>
      <c r="AN16" s="91">
        <f>SUM(CountWeekendDays(E10)+COUNTIF(E16:AI16,"С"))</f>
        <v>9</v>
      </c>
      <c r="AO16" s="96">
        <f>SUM(E16:AI16)</f>
        <v>0</v>
      </c>
      <c r="AP16" s="93">
        <f>(DAY(EOMONTH(E10, 0)) - AN16 - AK16) * AU16  * D16</f>
        <v>0</v>
      </c>
      <c r="AQ16" s="94">
        <f t="shared" ref="AQ16" si="5">AP16 - AO16</f>
        <v>0</v>
      </c>
      <c r="AR16" s="101" t="e">
        <f t="shared" si="3"/>
        <v>#DIV/0!</v>
      </c>
      <c r="AS16" s="16"/>
      <c r="AT16" s="16"/>
      <c r="AU16" s="29">
        <f>IF(C16="вихователь", 6, IF(C16="каштелян", 8, IF(C16="буфетниця", 8, IF(C16="молодша м/с", 8, IF(C16="сестр. госп.", 8, 7.7)))))</f>
        <v>7.7</v>
      </c>
      <c r="BA16" s="18">
        <f>A16</f>
        <v>6</v>
      </c>
      <c r="BB16" s="102">
        <f>B16</f>
        <v>0</v>
      </c>
      <c r="BC16" s="103">
        <f>C16</f>
        <v>0</v>
      </c>
      <c r="BD16" s="104" t="str">
        <f>IF(ISNUMBER(E16), IF(IsBold(E16), TIME(0,0,0), TIME(8,0,0)), "")</f>
        <v/>
      </c>
      <c r="BE16" s="105" t="str">
        <f>IF(BD16=TIME(0,0,0), BD16 + (E16/24),
 IF(AND(E16&gt;6, E16&lt;10, BD16&gt;=TIME(8,0,0), BD16&lt;TIME(21,0,0)), BD16 + ((E16+0.5)/24),
 IF(AND(E16&gt;10, E16&lt;16.1, BD16&gt;=TIME(7,59,0), BD16&lt;TIME(16,0,0)), BD16 + (E16/24), "")))</f>
        <v/>
      </c>
      <c r="BF16" s="105" t="str">
        <f>IF(ISNUMBER(F16), IF(IsBold(F16), TIME(0,0,0), TIME(8,0,0)), "")</f>
        <v/>
      </c>
      <c r="BG16" s="105" t="str">
        <f>IF(BF16=TIME(0,0,0), BF16 + (F16/24),
 IF(AND(F16&gt;6, F16&lt;10, BF16&gt;=TIME(8,0,0), BF16&lt;TIME(21,0,0)), BF16 + ((F16+0.5)/24),
 IF(AND(F16&gt;10, F16&lt;16.1, BF16&gt;=TIME(7,59,0), BF16&lt;TIME(16,0,0)), BF16 + (F16/24), "")))</f>
        <v/>
      </c>
      <c r="BH16" s="105" t="str">
        <f>IF(ISNUMBER(G16), IF(IsBold(G16), TIME(0,0,0), TIME(8,0,0)), "")</f>
        <v/>
      </c>
      <c r="BI16" s="105" t="str">
        <f>IF(BH16=TIME(0,0,0), BH16 + (G16/24),
 IF(AND(G16&gt;6, G16&lt;10, BH16&gt;=TIME(8,0,0), BH16&lt;TIME(21,0,0)), BH16 + ((G16+0.5)/24),
 IF(AND(G16&gt;10, G16&lt;16.1, BH16&gt;=TIME(7,59,0), BH16&lt;TIME(16,0,0)), BH16 + (G16/24), "")))</f>
        <v/>
      </c>
      <c r="BJ16" s="105" t="str">
        <f>IF(ISNUMBER(H16), IF(IsBold(H16), TIME(0,0,0), TIME(8,0,0)), "")</f>
        <v/>
      </c>
      <c r="BK16" s="105" t="str">
        <f>IF(BJ16=TIME(0,0,0), BJ16 + (H16/24),
 IF(AND(H16&gt;6, H16&lt;10, BJ16&gt;=TIME(8,0,0), BJ16&lt;TIME(21,0,0)), BJ16 + ((H16+0.5)/24),
 IF(AND(H16&gt;10, H16&lt;16.1, BJ16&gt;=TIME(7,59,0), BJ16&lt;TIME(16,0,0)), BJ16 + (H16/24), "")))</f>
        <v/>
      </c>
      <c r="BL16" s="105" t="str">
        <f>IF(ISNUMBER(I16), IF(IsBold(I16), TIME(0,0,0), TIME(8,0,0)), "")</f>
        <v/>
      </c>
      <c r="BM16" s="105" t="str">
        <f>IF(BL16=TIME(0,0,0), BL16 + (I16/24),
 IF(AND(I16&gt;6, I16&lt;10, BL16&gt;=TIME(8,0,0), BL16&lt;TIME(21,0,0)), BL16 + ((I16+0.5)/24),
 IF(AND(I16&gt;10, I16&lt;16.1, BL16&gt;=TIME(7,59,0), BL16&lt;TIME(16,0,0)), BL16 + (I16/24), "")))</f>
        <v/>
      </c>
      <c r="BN16" s="105" t="str">
        <f>IF(ISNUMBER(J16), IF(IsBold(J16), TIME(0,0,0), TIME(8,0,0)), "")</f>
        <v/>
      </c>
      <c r="BO16" s="105" t="str">
        <f>IF(BN16=TIME(0,0,0), BN16 + (J16/24),
 IF(AND(J16&gt;6, J16&lt;10, BN16&gt;=TIME(8,0,0), BN16&lt;TIME(21,0,0)), BN16 + ((J16+0.5)/24),
 IF(AND(J16&gt;10, J16&lt;16.1, BN16&gt;=TIME(7,59,0), BN16&lt;TIME(16,0,0)), BN16 + (J16/24), "")))</f>
        <v/>
      </c>
      <c r="BP16" s="105" t="str">
        <f>IF(ISNUMBER(K16), IF(IsBold(K16), TIME(0,0,0), TIME(8,0,0)), "")</f>
        <v/>
      </c>
      <c r="BQ16" s="105" t="str">
        <f>IF(BP16=TIME(0,0,0), BP16 + (K16/24),
 IF(AND(K16&gt;6, K16&lt;10, BP16&gt;=TIME(8,0,0), BP16&lt;TIME(21,0,0)), BP16 + ((K16+0.5)/24),
 IF(AND(K16&gt;10, K16&lt;16.1, BP16&gt;=TIME(7,59,0), BP16&lt;TIME(16,0,0)), BP16 + (K16/24), "")))</f>
        <v/>
      </c>
      <c r="BR16" s="106" t="str">
        <f>IF(ISNUMBER(L16), IF(IsBold(L16), TIME(0,0,0), TIME(8,0,0)), "")</f>
        <v/>
      </c>
      <c r="BS16" s="105" t="str">
        <f>IF(BR16=TIME(0,0,0), BR16 + (L16/24),
 IF(AND(L16&gt;6, L16&lt;10, BR16&gt;=TIME(8,0,0), BR16&lt;TIME(21,0,0)), BR16 + ((L16+0.5)/24),
 IF(AND(L16&gt;10, L16&lt;16.1, BR16&gt;=TIME(7,59,0), BR16&lt;TIME(16,0,0)), BR16 + (L16/24), "")))</f>
        <v/>
      </c>
      <c r="BT16" s="106" t="str">
        <f>IF(ISNUMBER(M16), IF(IsBold(M16), TIME(0,0,0), TIME(8,0,0)), "")</f>
        <v/>
      </c>
      <c r="BU16" s="105" t="str">
        <f>IF(BT16=TIME(0,0,0), BT16 + (M16/24),
 IF(AND(M16&gt;6, M16&lt;10, BT16&gt;=TIME(8,0,0), BT16&lt;TIME(21,0,0)), BT16 + ((M16+0.5)/24),
 IF(AND(M16&gt;10, M16&lt;16.1, BT16&gt;=TIME(7,59,0), BT16&lt;TIME(16,0,0)), BT16 + (M16/24), "")))</f>
        <v/>
      </c>
      <c r="BV16" s="105" t="str">
        <f>IF(ISNUMBER(N16), IF(IsBold(N16), TIME(0,0,0), TIME(8,0,0)), "")</f>
        <v/>
      </c>
      <c r="BW16" s="105" t="str">
        <f>IF(BV16=TIME(0,0,0), BV16 + (N16/24),
 IF(AND(N16&gt;6, N16&lt;10, BV16&gt;=TIME(8,0,0), BV16&lt;TIME(21,0,0)), BV16 + ((N16+0.5)/24),
 IF(AND(N16&gt;10, N16&lt;16.1, BV16&gt;=TIME(7,59,0), BV16&lt;TIME(16,0,0)), BV16 + (N16/24), "")))</f>
        <v/>
      </c>
      <c r="BX16" s="105" t="str">
        <f>IF(ISNUMBER(O16), IF(IsBold(O16), TIME(0,0,0), TIME(8,0,0)), "")</f>
        <v/>
      </c>
      <c r="BY16" s="105" t="str">
        <f>IF(BX16=TIME(0,0,0), BX16 + (O16/24),
 IF(AND(O16&gt;6, O16&lt;10, BX16&gt;=TIME(8,0,0), BX16&lt;TIME(21,0,0)), BX16 + ((O16+0.5)/24),
 IF(AND(O16&gt;10, O16&lt;16.1, BX16&gt;=TIME(7,59,0), BX16&lt;TIME(16,0,0)), BX16 + (O16/24), "")))</f>
        <v/>
      </c>
      <c r="BZ16" s="105" t="str">
        <f>IF(ISNUMBER(P16), IF(IsBold(P16), TIME(0,0,0), TIME(8,0,0)), "")</f>
        <v/>
      </c>
      <c r="CA16" s="105" t="str">
        <f>IF(BZ16=TIME(0,0,0), BZ16 + (P16/24),
 IF(AND(P16&gt;6, P16&lt;10, BZ16&gt;=TIME(8,0,0), BZ16&lt;TIME(21,0,0)), BZ16 + ((P16+0.5)/24),
 IF(AND(P16&gt;10, P16&lt;16.1, BZ16&gt;=TIME(7,59,0), BZ16&lt;TIME(16,0,0)), BZ16 + (P16/24), "")))</f>
        <v/>
      </c>
      <c r="CB16" s="105" t="str">
        <f>IF(ISNUMBER(Q16), IF(IsBold(Q16), TIME(0,0,0), TIME(8,0,0)), "")</f>
        <v/>
      </c>
      <c r="CC16" s="105" t="str">
        <f>IF(CB16=TIME(0,0,0), CB16 + (Q16/24),
 IF(AND(Q16&gt;6, Q16&lt;10, CB16&gt;=TIME(8,0,0), CB16&lt;TIME(21,0,0)), CB16 + ((Q16+0.5)/24),
 IF(AND(Q16&gt;10, Q16&lt;16.1, CB16&gt;=TIME(7,59,0), CB16&lt;TIME(16,0,0)), CB16 + (Q16/24), "")))</f>
        <v/>
      </c>
      <c r="CD16" s="105" t="str">
        <f>IF(ISNUMBER(R16), IF(IsBold(R16), TIME(0,0,0), TIME(8,0,0)), "")</f>
        <v/>
      </c>
      <c r="CE16" s="105" t="str">
        <f>IF(CD16=TIME(0,0,0), CD16 + (R16/24),
 IF(AND(R16&gt;6, R16&lt;10, CD16&gt;=TIME(8,0,0), CD16&lt;TIME(21,0,0)), CD16 + ((R16+0.5)/24),
 IF(AND(R16&gt;10, R16&lt;16.1, CD16&gt;=TIME(7,59,0), CD16&lt;TIME(16,0,0)), CD16 + (R16/24), "")))</f>
        <v/>
      </c>
      <c r="CF16" s="105" t="str">
        <f>IF(ISNUMBER(S16), IF(IsBold(S16), TIME(0,0,0), TIME(8,0,0)), "")</f>
        <v/>
      </c>
      <c r="CG16" s="105" t="str">
        <f>IF(CF16=TIME(0,0,0), CF16 + (S16/24),
 IF(AND(S16&gt;6, S16&lt;10, CF16&gt;=TIME(8,0,0), CF16&lt;TIME(21,0,0)), CF16 + ((S16+0.5)/24),
 IF(AND(S16&gt;10, S16&lt;16.1, CF16&gt;=TIME(7,59,0), CF16&lt;TIME(16,0,0)), CF16 + (S16/24), "")))</f>
        <v/>
      </c>
      <c r="CM16" s="18">
        <f>A16</f>
        <v>6</v>
      </c>
      <c r="CN16" s="107">
        <f>B16</f>
        <v>0</v>
      </c>
      <c r="CO16" s="103">
        <f>C16</f>
        <v>0</v>
      </c>
      <c r="CP16" s="104" t="str">
        <f>IF(ISNUMBER(T16), IF(IsBold(T16), TIME(0,0,0), TIME(8,0,0)), "")</f>
        <v/>
      </c>
      <c r="CQ16" s="105" t="str">
        <f>IF(CP16=TIME(0,0,0), CP16 + (T16/24),
 IF(AND(T16&gt;6, T16&lt;10, CP16&gt;=TIME(8,0,0), CP16&lt;TIME(21,0,0)), CP16 + ((T16+0.5)/24),
 IF(AND(T16&gt;10, T16&lt;16.1, CP16&gt;=TIME(7,59,0), CP16&lt;TIME(16,0,0)), CP16 + (T16/24), "")))</f>
        <v/>
      </c>
      <c r="CR16" s="104" t="str">
        <f>IF(ISNUMBER(U16), IF(IsBold(U16), TIME(0,0,0), TIME(8,0,0)), "")</f>
        <v/>
      </c>
      <c r="CS16" s="105" t="str">
        <f>IF(CR16=TIME(0,0,0), CR16 + (U16/24),
 IF(AND(U16&gt;6, U16&lt;10, CR16&gt;=TIME(8,0,0), CR16&lt;TIME(21,0,0)), CR16 + ((U16+0.5)/24),
 IF(AND(U16&gt;10, U16&lt;16.1, CR16&gt;=TIME(7,59,0), CR16&lt;TIME(16,0,0)), CR16 + (U16/24), "")))</f>
        <v/>
      </c>
      <c r="CT16" s="105" t="str">
        <f>IF(ISNUMBER(V16), IF(IsBold(V16), TIME(0,0,0), TIME(8,0,0)), "")</f>
        <v/>
      </c>
      <c r="CU16" s="105" t="str">
        <f>IF(CT16=TIME(0,0,0), CT16 + (V16/24),
 IF(AND(V16&gt;6, V16&lt;10, CT16&gt;=TIME(8,0,0), CT16&lt;TIME(21,0,0)), CT16 + ((V16+0.5)/24),
 IF(AND(V16&gt;10, V16&lt;16.1, CT16&gt;=TIME(7,59,0), CT16&lt;TIME(16,0,0)), CT16 + (V16/24), "")))</f>
        <v/>
      </c>
      <c r="CV16" s="105" t="str">
        <f>IF(ISNUMBER(W16), IF(IsBold(W16), TIME(0,0,0), TIME(8,0,0)), "")</f>
        <v/>
      </c>
      <c r="CW16" s="105" t="str">
        <f>IF(CV16=TIME(0,0,0), CV16 + (W16/24),
 IF(AND(W16&gt;6, W16&lt;10, CV16&gt;=TIME(8,0,0), CV16&lt;TIME(21,0,0)), CV16 + ((W16+0.5)/24),
 IF(AND(W16&gt;10, W16&lt;16.1, CV16&gt;=TIME(7,59,0), CV16&lt;TIME(16,0,0)), CV16 + (W16/24), "")))</f>
        <v/>
      </c>
      <c r="CX16" s="105" t="str">
        <f>IF(ISNUMBER(X16), IF(IsBold(X16), TIME(0,0,0), TIME(8,0,0)), "")</f>
        <v/>
      </c>
      <c r="CY16" s="105" t="str">
        <f>IF(CX16=TIME(0,0,0), CX16 + (X16/24),
 IF(AND(X16&gt;6, X16&lt;10, CX16&gt;=TIME(8,0,0), CX16&lt;TIME(21,0,0)), CX16 + ((X16+0.5)/24),
 IF(AND(X16&gt;10, X16&lt;16.1, CX16&gt;=TIME(7,59,0), CX16&lt;TIME(16,0,0)), CX16 + (X16/24), "")))</f>
        <v/>
      </c>
      <c r="CZ16" s="105" t="str">
        <f>IF(ISNUMBER(Y16), IF(IsBold(Y16), TIME(0,0,0), TIME(8,0,0)), "")</f>
        <v/>
      </c>
      <c r="DA16" s="105" t="str">
        <f>IF(CZ16=TIME(0,0,0), CZ16 + (Y16/24),
 IF(AND(Y16&gt;6, Y16&lt;10, CZ16&gt;=TIME(8,0,0), CZ16&lt;TIME(21,0,0)), CZ16 + ((Y16+0.5)/24),
 IF(AND(Y16&gt;10, Y16&lt;16.1, CZ16&gt;=TIME(7,59,0), CZ16&lt;TIME(16,0,0)), CZ16 + (Y16/24), "")))</f>
        <v/>
      </c>
      <c r="DB16" s="105" t="str">
        <f>IF(ISNUMBER(Z16), IF(IsBold(Z16), TIME(0,0,0), TIME(8,0,0)), "")</f>
        <v/>
      </c>
      <c r="DC16" s="105" t="str">
        <f>IF(DB16=TIME(0,0,0), DB16 + (Z16/24),
 IF(AND(Z16&gt;6, Z16&lt;10, DB16&gt;=TIME(8,0,0), DB16&lt;TIME(21,0,0)), DB16 + ((Z16+0.5)/24),
 IF(AND(Z16&gt;10, Z16&lt;16.1, DB16&gt;=TIME(7,59,0), DB16&lt;TIME(16,0,0)), DB16 + (Z16/24), "")))</f>
        <v/>
      </c>
      <c r="DD16" s="106" t="str">
        <f>IF(ISNUMBER(AA16), IF(IsBold(AA16), TIME(0,0,0), TIME(8,0,0)), "")</f>
        <v/>
      </c>
      <c r="DE16" s="105" t="str">
        <f>IF(DD16=TIME(0,0,0), DD16 + (AA16/24),
 IF(AND(AA16&gt;6, AA16&lt;10, DD16&gt;=TIME(8,0,0), DD16&lt;TIME(21,0,0)), DD16 + ((AA16+0.5)/24),
 IF(AND(AA16&gt;10, AA16&lt;16.1, DD16&gt;=TIME(7,59,0), DD16&lt;TIME(16,0,0)), DD16 + (AA16/24), "")))</f>
        <v/>
      </c>
      <c r="DF16" s="106" t="str">
        <f>IF(ISNUMBER(AB16), IF(IsBold(AB16), TIME(0,0,0), TIME(8,0,0)), "")</f>
        <v/>
      </c>
      <c r="DG16" s="105" t="str">
        <f>IF(DF16=TIME(0,0,0), DF16 + (AB16/24),
 IF(AND(AB16&gt;6, AB16&lt;10, DF16&gt;=TIME(8,0,0), DF16&lt;TIME(21,0,0)), DF16 + ((AB16+0.5)/24),
 IF(AND(AB16&gt;10, AB16&lt;16.1, DF16&gt;=TIME(7,59,0), DF16&lt;TIME(16,0,0)), DF16 + (AB16/24), "")))</f>
        <v/>
      </c>
      <c r="DH16" s="105" t="str">
        <f>IF(ISNUMBER(AC16), IF(IsBold(AC16), TIME(0,0,0), TIME(8,0,0)), "")</f>
        <v/>
      </c>
      <c r="DI16" s="105" t="str">
        <f>IF(DH16=TIME(0,0,0), DH16 + (AC16/24),
 IF(AND(AC16&gt;6, AC16&lt;10, DH16&gt;=TIME(8,0,0), DH16&lt;TIME(21,0,0)), DH16 + ((AC16+0.5)/24),
 IF(AND(AC16&gt;10, AC16&lt;16.1, DH16&gt;=TIME(7,59,0), DH16&lt;TIME(16,0,0)), DH16 + (AC16/24), "")))</f>
        <v/>
      </c>
      <c r="DJ16" s="105" t="str">
        <f>IF(ISNUMBER(AD16), IF(IsBold(AD16), TIME(0,0,0), TIME(8,0,0)), "")</f>
        <v/>
      </c>
      <c r="DK16" s="105" t="str">
        <f>IF(DJ16=TIME(0,0,0), DJ16 + (AD16/24),
 IF(AND(AD16&gt;6, AD16&lt;10, DJ16&gt;=TIME(8,0,0), DJ16&lt;TIME(21,0,0)), DJ16 + ((AD16+0.5)/24),
 IF(AND(AD16&gt;10, AD16&lt;16.1, DJ16&gt;=TIME(7,59,0), DJ16&lt;TIME(16,0,0)), DJ16 + (AD16/24), "")))</f>
        <v/>
      </c>
      <c r="DL16" s="105" t="str">
        <f>IF(ISNUMBER(AE16), IF(IsBold(AE16), TIME(0,0,0), TIME(8,0,0)), "")</f>
        <v/>
      </c>
      <c r="DM16" s="105" t="str">
        <f>IF(DL16=TIME(0,0,0), DL16 + (AE16/24),
 IF(AND(AE16&gt;6, AE16&lt;10, DL16&gt;=TIME(8,0,0), DL16&lt;TIME(21,0,0)), DL16 + ((AE16+0.5)/24),
 IF(AND(AE16&gt;10, AE16&lt;16.1, DL16&gt;=TIME(7,59,0), DL16&lt;TIME(16,0,0)), DL16 + (AE16/24), "")))</f>
        <v/>
      </c>
      <c r="DN16" s="105" t="str">
        <f>IF(ISNUMBER(AF16), IF(IsBold(AF16), TIME(0,0,0), TIME(8,0,0)), "")</f>
        <v/>
      </c>
      <c r="DO16" s="105" t="str">
        <f>IF(DN16=TIME(0,0,0), DN16 + (AF16/24),
 IF(AND(AF16&gt;6, AF16&lt;10, DN16&gt;=TIME(8,0,0), DN16&lt;TIME(21,0,0)), DN16 + ((AF16+0.5)/24),
 IF(AND(AF16&gt;10, AF16&lt;16.1, DN16&gt;=TIME(7,59,0), DN16&lt;TIME(16,0,0)), DN16 + (AF16/24), "")))</f>
        <v/>
      </c>
      <c r="DP16" s="105" t="str">
        <f>IF(ISNUMBER(AG16), IF(IsBold(AG16), TIME(0,0,0), TIME(8,0,0)), "")</f>
        <v/>
      </c>
      <c r="DQ16" s="105" t="str">
        <f>IF(DP16=TIME(0,0,0), DP16 + (AG16/24),
 IF(AND(AG16&gt;6, AG16&lt;10, DP16&gt;=TIME(8,0,0), DP16&lt;TIME(21,0,0)), DP16 + ((AG16+0.5)/24),
 IF(AND(AG16&gt;10, AG16&lt;16.1, DP16&gt;=TIME(7,59,0), DP16&lt;TIME(16,0,0)), DP16 + (AG16/24), "")))</f>
        <v/>
      </c>
      <c r="DR16" s="105" t="str">
        <f>IF(ISNUMBER(AH16), IF(IsBold(AH16), TIME(0,0,0), TIME(8,0,0)), "")</f>
        <v/>
      </c>
      <c r="DS16" s="105" t="str">
        <f>IF(DR16=TIME(0,0,0), DR16 + (AH16/24),
 IF(AND(AH16&gt;6, AH16&lt;10, DR16&gt;=TIME(8,0,0), DR16&lt;TIME(21,0,0)), DR16 + ((AH16+0.5)/24),
 IF(AND(AH16&gt;10, AH16&lt;16.1, DR16&gt;=TIME(7,59,0), DR16&lt;TIME(16,0,0)), DR16 + (AH16/24), "")))</f>
        <v/>
      </c>
      <c r="DT16" s="105" t="str">
        <f>IF(ISNUMBER(AI16), IF(IsBold(AI16), TIME(0,0,0), TIME(8,0,0)), "")</f>
        <v/>
      </c>
      <c r="DU16" s="105" t="str">
        <f>IF(DT16=TIME(0,0,0), DT16 + (AI16/24),
 IF(AND(AI16&gt;6, AI16&lt;10, DT16&gt;=TIME(8,0,0), DT16&lt;TIME(21,0,0)), DT16 + ((AI16+0.5)/24),
 IF(AND(AI16&gt;10, AI16&lt;16.1, DT16&gt;=TIME(7,59,0), DT16&lt;TIME(16,0,0)), DT16 + (AI16/24), "")))</f>
        <v/>
      </c>
      <c r="DV16" s="110">
        <f t="shared" si="2"/>
        <v>0</v>
      </c>
    </row>
    <row r="17" spans="1:126" ht="15" thickBot="1" x14ac:dyDescent="0.35">
      <c r="A17" s="12">
        <v>7</v>
      </c>
      <c r="B17" s="76"/>
      <c r="C17" s="77"/>
      <c r="D17" s="78"/>
      <c r="E17" s="74"/>
      <c r="F17" s="82"/>
      <c r="G17" s="83"/>
      <c r="H17" s="84"/>
      <c r="I17" s="82"/>
      <c r="J17" s="82"/>
      <c r="K17" s="83"/>
      <c r="L17" s="84"/>
      <c r="M17" s="82"/>
      <c r="N17" s="85"/>
      <c r="O17" s="83"/>
      <c r="P17" s="84"/>
      <c r="Q17" s="79"/>
      <c r="R17" s="82"/>
      <c r="S17" s="83"/>
      <c r="T17" s="84"/>
      <c r="U17" s="82"/>
      <c r="V17" s="82"/>
      <c r="W17" s="83"/>
      <c r="X17" s="84"/>
      <c r="Y17" s="82"/>
      <c r="Z17" s="82"/>
      <c r="AA17" s="83"/>
      <c r="AB17" s="84"/>
      <c r="AC17" s="82"/>
      <c r="AD17" s="82"/>
      <c r="AE17" s="83"/>
      <c r="AF17" s="84"/>
      <c r="AG17" s="74"/>
      <c r="AH17" s="74"/>
      <c r="AI17" s="74"/>
      <c r="AJ17" s="90">
        <f>COUNTIFS(E17:AI17,"&gt;0", E17:AI17,"&lt;&gt;"&amp;"")</f>
        <v>0</v>
      </c>
      <c r="AK17" s="91">
        <f>COUNTIF(E17:AI17, "ВП")</f>
        <v>0</v>
      </c>
      <c r="AL17" s="95">
        <f>COUNTIF(E17:AI17, "ВД")</f>
        <v>0</v>
      </c>
      <c r="AM17" s="91">
        <f>SumBoldNumbers(E17:AI17)</f>
        <v>0</v>
      </c>
      <c r="AN17" s="91">
        <f>SUM(CountWeekendDays(E10)+COUNTIF(E17:AI17,"С"))</f>
        <v>9</v>
      </c>
      <c r="AO17" s="96">
        <f>SUM(E17:AI17)</f>
        <v>0</v>
      </c>
      <c r="AP17" s="93">
        <f>(DAY(EOMONTH(E10, 0)) - AN17 - AK17) * AU17  * D17</f>
        <v>0</v>
      </c>
      <c r="AQ17" s="94">
        <f t="shared" ref="AQ17:AQ32" si="6">AP17 - AO17</f>
        <v>0</v>
      </c>
      <c r="AR17" s="101" t="e">
        <f t="shared" si="3"/>
        <v>#DIV/0!</v>
      </c>
      <c r="AU17" s="29">
        <f>IF(C17="вихователь", 6, IF(C17="каштелян", 8, IF(C17="буфетниця", 8, IF(C17="молодша м/с", 8, IF(C17="сестр. госп.", 8, 7.7)))))</f>
        <v>7.7</v>
      </c>
      <c r="BA17" s="18">
        <f>A17</f>
        <v>7</v>
      </c>
      <c r="BB17" s="102">
        <f>B17</f>
        <v>0</v>
      </c>
      <c r="BC17" s="103">
        <f>C17</f>
        <v>0</v>
      </c>
      <c r="BD17" s="104" t="str">
        <f>IF(ISNUMBER(E17), IF(IsBold(E17), TIME(0,0,0), TIME(8,0,0)), "")</f>
        <v/>
      </c>
      <c r="BE17" s="105" t="str">
        <f>IF(BD17=TIME(0,0,0), BD17 + (E17/24),
 IF(AND(E17&gt;6, E17&lt;10, BD17&gt;=TIME(8,0,0), BD17&lt;TIME(21,0,0)), BD17 + ((E17+0.5)/24),
 IF(AND(E17&gt;10, E17&lt;16.1, BD17&gt;=TIME(7,59,0), BD17&lt;TIME(16,0,0)), BD17 + (E17/24), "")))</f>
        <v/>
      </c>
      <c r="BF17" s="105" t="str">
        <f>IF(ISNUMBER(F17), IF(IsBold(F17), TIME(0,0,0), TIME(8,0,0)), "")</f>
        <v/>
      </c>
      <c r="BG17" s="105" t="str">
        <f>IF(BF17=TIME(0,0,0), BF17 + (F17/24),
 IF(AND(F17&gt;6, F17&lt;10, BF17&gt;=TIME(8,0,0), BF17&lt;TIME(21,0,0)), BF17 + ((F17+0.5)/24),
 IF(AND(F17&gt;10, F17&lt;16.1, BF17&gt;=TIME(7,59,0), BF17&lt;TIME(16,0,0)), BF17 + (F17/24), "")))</f>
        <v/>
      </c>
      <c r="BH17" s="105" t="str">
        <f>IF(ISNUMBER(G17), IF(IsBold(G17), TIME(0,0,0), TIME(8,0,0)), "")</f>
        <v/>
      </c>
      <c r="BI17" s="105" t="str">
        <f>IF(BH17=TIME(0,0,0), BH17 + (G17/24),
 IF(AND(G17&gt;6, G17&lt;10, BH17&gt;=TIME(8,0,0), BH17&lt;TIME(21,0,0)), BH17 + ((G17+0.5)/24),
 IF(AND(G17&gt;10, G17&lt;16.1, BH17&gt;=TIME(7,59,0), BH17&lt;TIME(16,0,0)), BH17 + (G17/24), "")))</f>
        <v/>
      </c>
      <c r="BJ17" s="105" t="str">
        <f>IF(ISNUMBER(H17), IF(IsBold(H17), TIME(0,0,0), TIME(8,0,0)), "")</f>
        <v/>
      </c>
      <c r="BK17" s="105" t="str">
        <f>IF(BJ17=TIME(0,0,0), BJ17 + (H17/24),
 IF(AND(H17&gt;6, H17&lt;10, BJ17&gt;=TIME(8,0,0), BJ17&lt;TIME(21,0,0)), BJ17 + ((H17+0.5)/24),
 IF(AND(H17&gt;10, H17&lt;16.1, BJ17&gt;=TIME(7,59,0), BJ17&lt;TIME(16,0,0)), BJ17 + (H17/24), "")))</f>
        <v/>
      </c>
      <c r="BL17" s="105" t="str">
        <f>IF(ISNUMBER(I17), IF(IsBold(I17), TIME(0,0,0), TIME(8,0,0)), "")</f>
        <v/>
      </c>
      <c r="BM17" s="105" t="str">
        <f>IF(BL17=TIME(0,0,0), BL17 + (I17/24),
 IF(AND(I17&gt;6, I17&lt;10, BL17&gt;=TIME(8,0,0), BL17&lt;TIME(21,0,0)), BL17 + ((I17+0.5)/24),
 IF(AND(I17&gt;10, I17&lt;16.1, BL17&gt;=TIME(7,59,0), BL17&lt;TIME(16,0,0)), BL17 + (I17/24), "")))</f>
        <v/>
      </c>
      <c r="BN17" s="105" t="str">
        <f>IF(ISNUMBER(J17), IF(IsBold(J17), TIME(0,0,0), TIME(8,0,0)), "")</f>
        <v/>
      </c>
      <c r="BO17" s="105" t="str">
        <f>IF(BN17=TIME(0,0,0), BN17 + (J17/24),
 IF(AND(J17&gt;6, J17&lt;10, BN17&gt;=TIME(8,0,0), BN17&lt;TIME(21,0,0)), BN17 + ((J17+0.5)/24),
 IF(AND(J17&gt;10, J17&lt;16.1, BN17&gt;=TIME(7,59,0), BN17&lt;TIME(16,0,0)), BN17 + (J17/24), "")))</f>
        <v/>
      </c>
      <c r="BP17" s="105" t="str">
        <f>IF(ISNUMBER(K17), IF(IsBold(K17), TIME(0,0,0), TIME(8,0,0)), "")</f>
        <v/>
      </c>
      <c r="BQ17" s="105" t="str">
        <f>IF(BP17=TIME(0,0,0), BP17 + (K17/24),
 IF(AND(K17&gt;6, K17&lt;10, BP17&gt;=TIME(8,0,0), BP17&lt;TIME(21,0,0)), BP17 + ((K17+0.5)/24),
 IF(AND(K17&gt;10, K17&lt;16.1, BP17&gt;=TIME(7,59,0), BP17&lt;TIME(16,0,0)), BP17 + (K17/24), "")))</f>
        <v/>
      </c>
      <c r="BR17" s="106" t="str">
        <f>IF(ISNUMBER(L17), IF(IsBold(L17), TIME(0,0,0), TIME(8,0,0)), "")</f>
        <v/>
      </c>
      <c r="BS17" s="105" t="str">
        <f>IF(BR17=TIME(0,0,0), BR17 + (L17/24),
 IF(AND(L17&gt;6, L17&lt;10, BR17&gt;=TIME(8,0,0), BR17&lt;TIME(21,0,0)), BR17 + ((L17+0.5)/24),
 IF(AND(L17&gt;10, L17&lt;16.1, BR17&gt;=TIME(7,59,0), BR17&lt;TIME(16,0,0)), BR17 + (L17/24), "")))</f>
        <v/>
      </c>
      <c r="BT17" s="106" t="str">
        <f>IF(ISNUMBER(M17), IF(IsBold(M17), TIME(0,0,0), TIME(8,0,0)), "")</f>
        <v/>
      </c>
      <c r="BU17" s="105" t="str">
        <f>IF(BT17=TIME(0,0,0), BT17 + (M17/24),
 IF(AND(M17&gt;6, M17&lt;10, BT17&gt;=TIME(8,0,0), BT17&lt;TIME(21,0,0)), BT17 + ((M17+0.5)/24),
 IF(AND(M17&gt;10, M17&lt;16.1, BT17&gt;=TIME(7,59,0), BT17&lt;TIME(16,0,0)), BT17 + (M17/24), "")))</f>
        <v/>
      </c>
      <c r="BV17" s="105" t="str">
        <f>IF(ISNUMBER(N17), IF(IsBold(N17), TIME(0,0,0), TIME(8,0,0)), "")</f>
        <v/>
      </c>
      <c r="BW17" s="105" t="str">
        <f>IF(BV17=TIME(0,0,0), BV17 + (N17/24),
 IF(AND(N17&gt;6, N17&lt;10, BV17&gt;=TIME(8,0,0), BV17&lt;TIME(21,0,0)), BV17 + ((N17+0.5)/24),
 IF(AND(N17&gt;10, N17&lt;16.1, BV17&gt;=TIME(7,59,0), BV17&lt;TIME(16,0,0)), BV17 + (N17/24), "")))</f>
        <v/>
      </c>
      <c r="BX17" s="105" t="str">
        <f>IF(ISNUMBER(O17), IF(IsBold(O17), TIME(0,0,0), TIME(8,0,0)), "")</f>
        <v/>
      </c>
      <c r="BY17" s="105" t="str">
        <f>IF(BX17=TIME(0,0,0), BX17 + (O17/24),
 IF(AND(O17&gt;6, O17&lt;10, BX17&gt;=TIME(8,0,0), BX17&lt;TIME(21,0,0)), BX17 + ((O17+0.5)/24),
 IF(AND(O17&gt;10, O17&lt;16.1, BX17&gt;=TIME(7,59,0), BX17&lt;TIME(16,0,0)), BX17 + (O17/24), "")))</f>
        <v/>
      </c>
      <c r="BZ17" s="105" t="str">
        <f>IF(ISNUMBER(P17), IF(IsBold(P17), TIME(0,0,0), TIME(8,0,0)), "")</f>
        <v/>
      </c>
      <c r="CA17" s="105" t="str">
        <f>IF(BZ17=TIME(0,0,0), BZ17 + (P17/24),
 IF(AND(P17&gt;6, P17&lt;10, BZ17&gt;=TIME(8,0,0), BZ17&lt;TIME(21,0,0)), BZ17 + ((P17+0.5)/24),
 IF(AND(P17&gt;10, P17&lt;16.1, BZ17&gt;=TIME(7,59,0), BZ17&lt;TIME(16,0,0)), BZ17 + (P17/24), "")))</f>
        <v/>
      </c>
      <c r="CB17" s="105" t="str">
        <f>IF(ISNUMBER(Q17), IF(IsBold(Q17), TIME(0,0,0), TIME(8,0,0)), "")</f>
        <v/>
      </c>
      <c r="CC17" s="105" t="str">
        <f>IF(CB17=TIME(0,0,0), CB17 + (Q17/24),
 IF(AND(Q17&gt;6, Q17&lt;10, CB17&gt;=TIME(8,0,0), CB17&lt;TIME(21,0,0)), CB17 + ((Q17+0.5)/24),
 IF(AND(Q17&gt;10, Q17&lt;16.1, CB17&gt;=TIME(7,59,0), CB17&lt;TIME(16,0,0)), CB17 + (Q17/24), "")))</f>
        <v/>
      </c>
      <c r="CD17" s="105" t="str">
        <f>IF(ISNUMBER(R17), IF(IsBold(R17), TIME(0,0,0), TIME(8,0,0)), "")</f>
        <v/>
      </c>
      <c r="CE17" s="105" t="str">
        <f>IF(CD17=TIME(0,0,0), CD17 + (R17/24),
 IF(AND(R17&gt;6, R17&lt;10, CD17&gt;=TIME(8,0,0), CD17&lt;TIME(21,0,0)), CD17 + ((R17+0.5)/24),
 IF(AND(R17&gt;10, R17&lt;16.1, CD17&gt;=TIME(7,59,0), CD17&lt;TIME(16,0,0)), CD17 + (R17/24), "")))</f>
        <v/>
      </c>
      <c r="CF17" s="105" t="str">
        <f>IF(ISNUMBER(S17), IF(IsBold(S17), TIME(0,0,0), TIME(8,0,0)), "")</f>
        <v/>
      </c>
      <c r="CG17" s="105" t="str">
        <f>IF(CF17=TIME(0,0,0), CF17 + (S17/24),
 IF(AND(S17&gt;6, S17&lt;10, CF17&gt;=TIME(8,0,0), CF17&lt;TIME(21,0,0)), CF17 + ((S17+0.5)/24),
 IF(AND(S17&gt;10, S17&lt;16.1, CF17&gt;=TIME(7,59,0), CF17&lt;TIME(16,0,0)), CF17 + (S17/24), "")))</f>
        <v/>
      </c>
      <c r="CM17" s="18">
        <f>A17</f>
        <v>7</v>
      </c>
      <c r="CN17" s="107">
        <f>B17</f>
        <v>0</v>
      </c>
      <c r="CO17" s="103">
        <f>C17</f>
        <v>0</v>
      </c>
      <c r="CP17" s="104" t="str">
        <f>IF(ISNUMBER(T17), IF(IsBold(T17), TIME(0,0,0), TIME(8,0,0)), "")</f>
        <v/>
      </c>
      <c r="CQ17" s="105" t="str">
        <f>IF(CP17=TIME(0,0,0), CP17 + (T17/24),
 IF(AND(T17&gt;6, T17&lt;10, CP17&gt;=TIME(8,0,0), CP17&lt;TIME(21,0,0)), CP17 + ((T17+0.5)/24),
 IF(AND(T17&gt;10, T17&lt;16.1, CP17&gt;=TIME(7,59,0), CP17&lt;TIME(16,0,0)), CP17 + (T17/24), "")))</f>
        <v/>
      </c>
      <c r="CR17" s="104" t="str">
        <f>IF(ISNUMBER(U17), IF(IsBold(U17), TIME(0,0,0), TIME(8,0,0)), "")</f>
        <v/>
      </c>
      <c r="CS17" s="105" t="str">
        <f>IF(CR17=TIME(0,0,0), CR17 + (U17/24),
 IF(AND(U17&gt;6, U17&lt;10, CR17&gt;=TIME(8,0,0), CR17&lt;TIME(21,0,0)), CR17 + ((U17+0.5)/24),
 IF(AND(U17&gt;10, U17&lt;16.1, CR17&gt;=TIME(7,59,0), CR17&lt;TIME(16,0,0)), CR17 + (U17/24), "")))</f>
        <v/>
      </c>
      <c r="CT17" s="105" t="str">
        <f>IF(ISNUMBER(V17), IF(IsBold(V17), TIME(0,0,0), TIME(8,0,0)), "")</f>
        <v/>
      </c>
      <c r="CU17" s="105" t="str">
        <f>IF(CT17=TIME(0,0,0), CT17 + (V17/24),
 IF(AND(V17&gt;6, V17&lt;10, CT17&gt;=TIME(8,0,0), CT17&lt;TIME(21,0,0)), CT17 + ((V17+0.5)/24),
 IF(AND(V17&gt;10, V17&lt;16.1, CT17&gt;=TIME(7,59,0), CT17&lt;TIME(16,0,0)), CT17 + (V17/24), "")))</f>
        <v/>
      </c>
      <c r="CV17" s="105" t="str">
        <f>IF(ISNUMBER(W17), IF(IsBold(W17), TIME(0,0,0), TIME(8,0,0)), "")</f>
        <v/>
      </c>
      <c r="CW17" s="105" t="str">
        <f>IF(CV17=TIME(0,0,0), CV17 + (W17/24),
 IF(AND(W17&gt;6, W17&lt;10, CV17&gt;=TIME(8,0,0), CV17&lt;TIME(21,0,0)), CV17 + ((W17+0.5)/24),
 IF(AND(W17&gt;10, W17&lt;16.1, CV17&gt;=TIME(7,59,0), CV17&lt;TIME(16,0,0)), CV17 + (W17/24), "")))</f>
        <v/>
      </c>
      <c r="CX17" s="105" t="str">
        <f>IF(ISNUMBER(X17), IF(IsBold(X17), TIME(0,0,0), TIME(8,0,0)), "")</f>
        <v/>
      </c>
      <c r="CY17" s="105" t="str">
        <f>IF(CX17=TIME(0,0,0), CX17 + (X17/24),
 IF(AND(X17&gt;6, X17&lt;10, CX17&gt;=TIME(8,0,0), CX17&lt;TIME(21,0,0)), CX17 + ((X17+0.5)/24),
 IF(AND(X17&gt;10, X17&lt;16.1, CX17&gt;=TIME(7,59,0), CX17&lt;TIME(16,0,0)), CX17 + (X17/24), "")))</f>
        <v/>
      </c>
      <c r="CZ17" s="105" t="str">
        <f>IF(ISNUMBER(Y17), IF(IsBold(Y17), TIME(0,0,0), TIME(8,0,0)), "")</f>
        <v/>
      </c>
      <c r="DA17" s="105" t="str">
        <f>IF(CZ17=TIME(0,0,0), CZ17 + (Y17/24),
 IF(AND(Y17&gt;6, Y17&lt;10, CZ17&gt;=TIME(8,0,0), CZ17&lt;TIME(21,0,0)), CZ17 + ((Y17+0.5)/24),
 IF(AND(Y17&gt;10, Y17&lt;16.1, CZ17&gt;=TIME(7,59,0), CZ17&lt;TIME(16,0,0)), CZ17 + (Y17/24), "")))</f>
        <v/>
      </c>
      <c r="DB17" s="105" t="str">
        <f>IF(ISNUMBER(Z17), IF(IsBold(Z17), TIME(0,0,0), TIME(8,0,0)), "")</f>
        <v/>
      </c>
      <c r="DC17" s="105" t="str">
        <f>IF(DB17=TIME(0,0,0), DB17 + (Z17/24),
 IF(AND(Z17&gt;6, Z17&lt;10, DB17&gt;=TIME(8,0,0), DB17&lt;TIME(21,0,0)), DB17 + ((Z17+0.5)/24),
 IF(AND(Z17&gt;10, Z17&lt;16.1, DB17&gt;=TIME(7,59,0), DB17&lt;TIME(16,0,0)), DB17 + (Z17/24), "")))</f>
        <v/>
      </c>
      <c r="DD17" s="106" t="str">
        <f>IF(ISNUMBER(AA17), IF(IsBold(AA17), TIME(0,0,0), TIME(8,0,0)), "")</f>
        <v/>
      </c>
      <c r="DE17" s="105" t="str">
        <f>IF(DD17=TIME(0,0,0), DD17 + (AA17/24),
 IF(AND(AA17&gt;6, AA17&lt;10, DD17&gt;=TIME(8,0,0), DD17&lt;TIME(21,0,0)), DD17 + ((AA17+0.5)/24),
 IF(AND(AA17&gt;10, AA17&lt;16.1, DD17&gt;=TIME(7,59,0), DD17&lt;TIME(16,0,0)), DD17 + (AA17/24), "")))</f>
        <v/>
      </c>
      <c r="DF17" s="106" t="str">
        <f>IF(ISNUMBER(AB17), IF(IsBold(AB17), TIME(0,0,0), TIME(8,0,0)), "")</f>
        <v/>
      </c>
      <c r="DG17" s="105" t="str">
        <f>IF(DF17=TIME(0,0,0), DF17 + (AB17/24),
 IF(AND(AB17&gt;6, AB17&lt;10, DF17&gt;=TIME(8,0,0), DF17&lt;TIME(21,0,0)), DF17 + ((AB17+0.5)/24),
 IF(AND(AB17&gt;10, AB17&lt;16.1, DF17&gt;=TIME(7,59,0), DF17&lt;TIME(16,0,0)), DF17 + (AB17/24), "")))</f>
        <v/>
      </c>
      <c r="DH17" s="105" t="str">
        <f>IF(ISNUMBER(AC17), IF(IsBold(AC17), TIME(0,0,0), TIME(8,0,0)), "")</f>
        <v/>
      </c>
      <c r="DI17" s="105" t="str">
        <f>IF(DH17=TIME(0,0,0), DH17 + (AC17/24),
 IF(AND(AC17&gt;6, AC17&lt;10, DH17&gt;=TIME(8,0,0), DH17&lt;TIME(21,0,0)), DH17 + ((AC17+0.5)/24),
 IF(AND(AC17&gt;10, AC17&lt;16.1, DH17&gt;=TIME(7,59,0), DH17&lt;TIME(16,0,0)), DH17 + (AC17/24), "")))</f>
        <v/>
      </c>
      <c r="DJ17" s="105" t="str">
        <f>IF(ISNUMBER(AD17), IF(IsBold(AD17), TIME(0,0,0), TIME(8,0,0)), "")</f>
        <v/>
      </c>
      <c r="DK17" s="105" t="str">
        <f>IF(DJ17=TIME(0,0,0), DJ17 + (AD17/24),
 IF(AND(AD17&gt;6, AD17&lt;10, DJ17&gt;=TIME(8,0,0), DJ17&lt;TIME(21,0,0)), DJ17 + ((AD17+0.5)/24),
 IF(AND(AD17&gt;10, AD17&lt;16.1, DJ17&gt;=TIME(7,59,0), DJ17&lt;TIME(16,0,0)), DJ17 + (AD17/24), "")))</f>
        <v/>
      </c>
      <c r="DL17" s="105" t="str">
        <f>IF(ISNUMBER(AE17), IF(IsBold(AE17), TIME(0,0,0), TIME(8,0,0)), "")</f>
        <v/>
      </c>
      <c r="DM17" s="105" t="str">
        <f>IF(DL17=TIME(0,0,0), DL17 + (AE17/24),
 IF(AND(AE17&gt;6, AE17&lt;10, DL17&gt;=TIME(8,0,0), DL17&lt;TIME(21,0,0)), DL17 + ((AE17+0.5)/24),
 IF(AND(AE17&gt;10, AE17&lt;16.1, DL17&gt;=TIME(7,59,0), DL17&lt;TIME(16,0,0)), DL17 + (AE17/24), "")))</f>
        <v/>
      </c>
      <c r="DN17" s="105" t="str">
        <f>IF(ISNUMBER(AF17), IF(IsBold(AF17), TIME(0,0,0), TIME(8,0,0)), "")</f>
        <v/>
      </c>
      <c r="DO17" s="105" t="str">
        <f>IF(DN17=TIME(0,0,0), DN17 + (AF17/24),
 IF(AND(AF17&gt;6, AF17&lt;10, DN17&gt;=TIME(8,0,0), DN17&lt;TIME(21,0,0)), DN17 + ((AF17+0.5)/24),
 IF(AND(AF17&gt;10, AF17&lt;16.1, DN17&gt;=TIME(7,59,0), DN17&lt;TIME(16,0,0)), DN17 + (AF17/24), "")))</f>
        <v/>
      </c>
      <c r="DP17" s="105" t="str">
        <f>IF(ISNUMBER(AG17), IF(IsBold(AG17), TIME(0,0,0), TIME(8,0,0)), "")</f>
        <v/>
      </c>
      <c r="DQ17" s="105" t="str">
        <f>IF(DP17=TIME(0,0,0), DP17 + (AG17/24),
 IF(AND(AG17&gt;6, AG17&lt;10, DP17&gt;=TIME(8,0,0), DP17&lt;TIME(21,0,0)), DP17 + ((AG17+0.5)/24),
 IF(AND(AG17&gt;10, AG17&lt;16.1, DP17&gt;=TIME(7,59,0), DP17&lt;TIME(16,0,0)), DP17 + (AG17/24), "")))</f>
        <v/>
      </c>
      <c r="DR17" s="105" t="str">
        <f>IF(ISNUMBER(AH17), IF(IsBold(AH17), TIME(0,0,0), TIME(8,0,0)), "")</f>
        <v/>
      </c>
      <c r="DS17" s="105" t="str">
        <f>IF(DR17=TIME(0,0,0), DR17 + (AH17/24),
 IF(AND(AH17&gt;6, AH17&lt;10, DR17&gt;=TIME(8,0,0), DR17&lt;TIME(21,0,0)), DR17 + ((AH17+0.5)/24),
 IF(AND(AH17&gt;10, AH17&lt;16.1, DR17&gt;=TIME(7,59,0), DR17&lt;TIME(16,0,0)), DR17 + (AH17/24), "")))</f>
        <v/>
      </c>
      <c r="DT17" s="105" t="str">
        <f>IF(ISNUMBER(AI17), IF(IsBold(AI17), TIME(0,0,0), TIME(8,0,0)), "")</f>
        <v/>
      </c>
      <c r="DU17" s="105" t="str">
        <f>IF(DT17=TIME(0,0,0), DT17 + (AI17/24),
 IF(AND(AI17&gt;6, AI17&lt;10, DT17&gt;=TIME(8,0,0), DT17&lt;TIME(21,0,0)), DT17 + ((AI17+0.5)/24),
 IF(AND(AI17&gt;10, AI17&lt;16.1, DT17&gt;=TIME(7,59,0), DT17&lt;TIME(16,0,0)), DT17 + (AI17/24), "")))</f>
        <v/>
      </c>
      <c r="DV17" s="110">
        <f t="shared" si="2"/>
        <v>0</v>
      </c>
    </row>
    <row r="18" spans="1:126" ht="15" thickBot="1" x14ac:dyDescent="0.35">
      <c r="A18" s="12">
        <v>8</v>
      </c>
      <c r="B18" s="76"/>
      <c r="C18" s="77"/>
      <c r="D18" s="78"/>
      <c r="E18" s="74"/>
      <c r="F18" s="82"/>
      <c r="G18" s="83"/>
      <c r="H18" s="84"/>
      <c r="I18" s="82"/>
      <c r="J18" s="82"/>
      <c r="K18" s="83"/>
      <c r="L18" s="84"/>
      <c r="M18" s="82"/>
      <c r="N18" s="82"/>
      <c r="O18" s="83"/>
      <c r="P18" s="84"/>
      <c r="Q18" s="82"/>
      <c r="R18" s="82"/>
      <c r="S18" s="83"/>
      <c r="T18" s="84"/>
      <c r="U18" s="82"/>
      <c r="V18" s="82"/>
      <c r="W18" s="83"/>
      <c r="X18" s="84"/>
      <c r="Y18" s="82"/>
      <c r="Z18" s="82"/>
      <c r="AA18" s="83"/>
      <c r="AB18" s="84"/>
      <c r="AC18" s="82"/>
      <c r="AD18" s="82"/>
      <c r="AE18" s="83"/>
      <c r="AF18" s="84"/>
      <c r="AG18" s="74"/>
      <c r="AH18" s="74"/>
      <c r="AI18" s="74"/>
      <c r="AJ18" s="90">
        <f>COUNTIFS(E18:AI18,"&gt;0", E18:AI18,"&lt;&gt;"&amp;"")</f>
        <v>0</v>
      </c>
      <c r="AK18" s="91">
        <f>COUNTIF(E18:AI18, "ВП")</f>
        <v>0</v>
      </c>
      <c r="AL18" s="95">
        <f>COUNTIF(E18:AI18, "ВД")</f>
        <v>0</v>
      </c>
      <c r="AM18" s="91">
        <f>SumBoldNumbers(E18:AI18)</f>
        <v>0</v>
      </c>
      <c r="AN18" s="91">
        <f>SUM(CountWeekendDays(E10)+COUNTIF(E18:AI18,"С"))</f>
        <v>9</v>
      </c>
      <c r="AO18" s="96">
        <f>SUM(E18:AI18)</f>
        <v>0</v>
      </c>
      <c r="AP18" s="93">
        <f>(DAY(EOMONTH(E10, 0)) - AN18 - AK18) * AU18  * D18</f>
        <v>0</v>
      </c>
      <c r="AQ18" s="94">
        <f t="shared" si="6"/>
        <v>0</v>
      </c>
      <c r="AR18" s="101" t="e">
        <f t="shared" si="3"/>
        <v>#DIV/0!</v>
      </c>
      <c r="AU18" s="29">
        <f>IF(C18="вихователь", 6, IF(C18="каштелян", 8, IF(C18="буфетниця", 8, IF(C18="молодша м/с", 8, IF(C18="сестр. госп.", 8, 7.7)))))</f>
        <v>7.7</v>
      </c>
      <c r="BA18" s="18">
        <f>A18</f>
        <v>8</v>
      </c>
      <c r="BB18" s="102">
        <f>B18</f>
        <v>0</v>
      </c>
      <c r="BC18" s="103">
        <f>C18</f>
        <v>0</v>
      </c>
      <c r="BD18" s="104" t="str">
        <f>IF(ISNUMBER(E18), IF(IsBold(E18), TIME(0,0,0), TIME(8,0,0)), "")</f>
        <v/>
      </c>
      <c r="BE18" s="105" t="str">
        <f>IF(BD18=TIME(0,0,0), BD18 + (E18/24),
 IF(AND(E18&gt;6, E18&lt;10, BD18&gt;=TIME(8,0,0), BD18&lt;TIME(21,0,0)), BD18 + ((E18+0.5)/24),
 IF(AND(E18&gt;10, E18&lt;16.1, BD18&gt;=TIME(7,59,0), BD18&lt;TIME(16,0,0)), BD18 + (E18/24), "")))</f>
        <v/>
      </c>
      <c r="BF18" s="105" t="str">
        <f>IF(ISNUMBER(F18), IF(IsBold(F18), TIME(0,0,0), TIME(8,0,0)), "")</f>
        <v/>
      </c>
      <c r="BG18" s="105" t="str">
        <f>IF(BF18=TIME(0,0,0), BF18 + (F18/24),
 IF(AND(F18&gt;6, F18&lt;10, BF18&gt;=TIME(8,0,0), BF18&lt;TIME(21,0,0)), BF18 + ((F18+0.5)/24),
 IF(AND(F18&gt;10, F18&lt;16.1, BF18&gt;=TIME(7,59,0), BF18&lt;TIME(16,0,0)), BF18 + (F18/24), "")))</f>
        <v/>
      </c>
      <c r="BH18" s="105" t="str">
        <f>IF(ISNUMBER(G18), IF(IsBold(G18), TIME(0,0,0), TIME(8,0,0)), "")</f>
        <v/>
      </c>
      <c r="BI18" s="105" t="str">
        <f>IF(BH18=TIME(0,0,0), BH18 + (G18/24),
 IF(AND(G18&gt;6, G18&lt;10, BH18&gt;=TIME(8,0,0), BH18&lt;TIME(21,0,0)), BH18 + ((G18+0.5)/24),
 IF(AND(G18&gt;10, G18&lt;16.1, BH18&gt;=TIME(7,59,0), BH18&lt;TIME(16,0,0)), BH18 + (G18/24), "")))</f>
        <v/>
      </c>
      <c r="BJ18" s="105" t="str">
        <f>IF(ISNUMBER(H18), IF(IsBold(H18), TIME(0,0,0), TIME(8,0,0)), "")</f>
        <v/>
      </c>
      <c r="BK18" s="105" t="str">
        <f>IF(BJ18=TIME(0,0,0), BJ18 + (H18/24),
 IF(AND(H18&gt;6, H18&lt;10, BJ18&gt;=TIME(8,0,0), BJ18&lt;TIME(21,0,0)), BJ18 + ((H18+0.5)/24),
 IF(AND(H18&gt;10, H18&lt;16.1, BJ18&gt;=TIME(7,59,0), BJ18&lt;TIME(16,0,0)), BJ18 + (H18/24), "")))</f>
        <v/>
      </c>
      <c r="BL18" s="105" t="str">
        <f>IF(ISNUMBER(I18), IF(IsBold(I18), TIME(0,0,0), TIME(8,0,0)), "")</f>
        <v/>
      </c>
      <c r="BM18" s="105" t="str">
        <f>IF(BL18=TIME(0,0,0), BL18 + (I18/24),
 IF(AND(I18&gt;6, I18&lt;10, BL18&gt;=TIME(8,0,0), BL18&lt;TIME(21,0,0)), BL18 + ((I18+0.5)/24),
 IF(AND(I18&gt;10, I18&lt;16.1, BL18&gt;=TIME(7,59,0), BL18&lt;TIME(16,0,0)), BL18 + (I18/24), "")))</f>
        <v/>
      </c>
      <c r="BN18" s="105" t="str">
        <f>IF(ISNUMBER(J18), IF(IsBold(J18), TIME(0,0,0), TIME(8,0,0)), "")</f>
        <v/>
      </c>
      <c r="BO18" s="105" t="str">
        <f>IF(BN18=TIME(0,0,0), BN18 + (J18/24),
 IF(AND(J18&gt;6, J18&lt;10, BN18&gt;=TIME(8,0,0), BN18&lt;TIME(21,0,0)), BN18 + ((J18+0.5)/24),
 IF(AND(J18&gt;10, J18&lt;16.1, BN18&gt;=TIME(7,59,0), BN18&lt;TIME(16,0,0)), BN18 + (J18/24), "")))</f>
        <v/>
      </c>
      <c r="BP18" s="105" t="str">
        <f>IF(ISNUMBER(K18), IF(IsBold(K18), TIME(0,0,0), TIME(8,0,0)), "")</f>
        <v/>
      </c>
      <c r="BQ18" s="105" t="str">
        <f>IF(BP18=TIME(0,0,0), BP18 + (K18/24),
 IF(AND(K18&gt;6, K18&lt;10, BP18&gt;=TIME(8,0,0), BP18&lt;TIME(21,0,0)), BP18 + ((K18+0.5)/24),
 IF(AND(K18&gt;10, K18&lt;16.1, BP18&gt;=TIME(7,59,0), BP18&lt;TIME(16,0,0)), BP18 + (K18/24), "")))</f>
        <v/>
      </c>
      <c r="BR18" s="106" t="str">
        <f>IF(ISNUMBER(L18), IF(IsBold(L18), TIME(0,0,0), TIME(8,0,0)), "")</f>
        <v/>
      </c>
      <c r="BS18" s="105" t="str">
        <f>IF(BR18=TIME(0,0,0), BR18 + (L18/24),
 IF(AND(L18&gt;6, L18&lt;10, BR18&gt;=TIME(8,0,0), BR18&lt;TIME(21,0,0)), BR18 + ((L18+0.5)/24),
 IF(AND(L18&gt;10, L18&lt;16.1, BR18&gt;=TIME(7,59,0), BR18&lt;TIME(16,0,0)), BR18 + (L18/24), "")))</f>
        <v/>
      </c>
      <c r="BT18" s="106" t="str">
        <f>IF(ISNUMBER(M18), IF(IsBold(M18), TIME(0,0,0), TIME(8,0,0)), "")</f>
        <v/>
      </c>
      <c r="BU18" s="105" t="str">
        <f>IF(BT18=TIME(0,0,0), BT18 + (M18/24),
 IF(AND(M18&gt;6, M18&lt;10, BT18&gt;=TIME(8,0,0), BT18&lt;TIME(21,0,0)), BT18 + ((M18+0.5)/24),
 IF(AND(M18&gt;10, M18&lt;16.1, BT18&gt;=TIME(7,59,0), BT18&lt;TIME(16,0,0)), BT18 + (M18/24), "")))</f>
        <v/>
      </c>
      <c r="BV18" s="105" t="str">
        <f>IF(ISNUMBER(N18), IF(IsBold(N18), TIME(0,0,0), TIME(8,0,0)), "")</f>
        <v/>
      </c>
      <c r="BW18" s="105" t="str">
        <f>IF(BV18=TIME(0,0,0), BV18 + (N18/24),
 IF(AND(N18&gt;6, N18&lt;10, BV18&gt;=TIME(8,0,0), BV18&lt;TIME(21,0,0)), BV18 + ((N18+0.5)/24),
 IF(AND(N18&gt;10, N18&lt;16.1, BV18&gt;=TIME(7,59,0), BV18&lt;TIME(16,0,0)), BV18 + (N18/24), "")))</f>
        <v/>
      </c>
      <c r="BX18" s="105" t="str">
        <f>IF(ISNUMBER(O18), IF(IsBold(O18), TIME(0,0,0), TIME(8,0,0)), "")</f>
        <v/>
      </c>
      <c r="BY18" s="105" t="str">
        <f>IF(BX18=TIME(0,0,0), BX18 + (O18/24),
 IF(AND(O18&gt;6, O18&lt;10, BX18&gt;=TIME(8,0,0), BX18&lt;TIME(21,0,0)), BX18 + ((O18+0.5)/24),
 IF(AND(O18&gt;10, O18&lt;16.1, BX18&gt;=TIME(7,59,0), BX18&lt;TIME(16,0,0)), BX18 + (O18/24), "")))</f>
        <v/>
      </c>
      <c r="BZ18" s="105" t="str">
        <f>IF(ISNUMBER(P18), IF(IsBold(P18), TIME(0,0,0), TIME(8,0,0)), "")</f>
        <v/>
      </c>
      <c r="CA18" s="105" t="str">
        <f>IF(BZ18=TIME(0,0,0), BZ18 + (P18/24),
 IF(AND(P18&gt;6, P18&lt;10, BZ18&gt;=TIME(8,0,0), BZ18&lt;TIME(21,0,0)), BZ18 + ((P18+0.5)/24),
 IF(AND(P18&gt;10, P18&lt;16.1, BZ18&gt;=TIME(7,59,0), BZ18&lt;TIME(16,0,0)), BZ18 + (P18/24), "")))</f>
        <v/>
      </c>
      <c r="CB18" s="105" t="str">
        <f>IF(ISNUMBER(Q18), IF(IsBold(Q18), TIME(0,0,0), TIME(8,0,0)), "")</f>
        <v/>
      </c>
      <c r="CC18" s="105" t="str">
        <f>IF(CB18=TIME(0,0,0), CB18 + (Q18/24),
 IF(AND(Q18&gt;6, Q18&lt;10, CB18&gt;=TIME(8,0,0), CB18&lt;TIME(21,0,0)), CB18 + ((Q18+0.5)/24),
 IF(AND(Q18&gt;10, Q18&lt;16.1, CB18&gt;=TIME(7,59,0), CB18&lt;TIME(16,0,0)), CB18 + (Q18/24), "")))</f>
        <v/>
      </c>
      <c r="CD18" s="105" t="str">
        <f>IF(ISNUMBER(R18), IF(IsBold(R18), TIME(0,0,0), TIME(8,0,0)), "")</f>
        <v/>
      </c>
      <c r="CE18" s="105" t="str">
        <f>IF(CD18=TIME(0,0,0), CD18 + (R18/24),
 IF(AND(R18&gt;6, R18&lt;10, CD18&gt;=TIME(8,0,0), CD18&lt;TIME(21,0,0)), CD18 + ((R18+0.5)/24),
 IF(AND(R18&gt;10, R18&lt;16.1, CD18&gt;=TIME(7,59,0), CD18&lt;TIME(16,0,0)), CD18 + (R18/24), "")))</f>
        <v/>
      </c>
      <c r="CF18" s="105" t="str">
        <f>IF(ISNUMBER(S18), IF(IsBold(S18), TIME(0,0,0), TIME(8,0,0)), "")</f>
        <v/>
      </c>
      <c r="CG18" s="105" t="str">
        <f>IF(CF18=TIME(0,0,0), CF18 + (S18/24),
 IF(AND(S18&gt;6, S18&lt;10, CF18&gt;=TIME(8,0,0), CF18&lt;TIME(21,0,0)), CF18 + ((S18+0.5)/24),
 IF(AND(S18&gt;10, S18&lt;16.1, CF18&gt;=TIME(7,59,0), CF18&lt;TIME(16,0,0)), CF18 + (S18/24), "")))</f>
        <v/>
      </c>
      <c r="CM18" s="18">
        <f>A18</f>
        <v>8</v>
      </c>
      <c r="CN18" s="107">
        <f>B18</f>
        <v>0</v>
      </c>
      <c r="CO18" s="103">
        <f>C18</f>
        <v>0</v>
      </c>
      <c r="CP18" s="104" t="str">
        <f>IF(ISNUMBER(T18), IF(IsBold(T18), TIME(0,0,0), TIME(8,0,0)), "")</f>
        <v/>
      </c>
      <c r="CQ18" s="105" t="str">
        <f>IF(CP18=TIME(0,0,0), CP18 + (T18/24),
 IF(AND(T18&gt;6, T18&lt;10, CP18&gt;=TIME(8,0,0), CP18&lt;TIME(21,0,0)), CP18 + ((T18+0.5)/24),
 IF(AND(T18&gt;10, T18&lt;16.1, CP18&gt;=TIME(7,59,0), CP18&lt;TIME(16,0,0)), CP18 + (T18/24), "")))</f>
        <v/>
      </c>
      <c r="CR18" s="104" t="str">
        <f>IF(ISNUMBER(U18), IF(IsBold(U18), TIME(0,0,0), TIME(8,0,0)), "")</f>
        <v/>
      </c>
      <c r="CS18" s="105" t="str">
        <f>IF(CR18=TIME(0,0,0), CR18 + (U18/24),
 IF(AND(U18&gt;6, U18&lt;10, CR18&gt;=TIME(8,0,0), CR18&lt;TIME(21,0,0)), CR18 + ((U18+0.5)/24),
 IF(AND(U18&gt;10, U18&lt;16.1, CR18&gt;=TIME(7,59,0), CR18&lt;TIME(16,0,0)), CR18 + (U18/24), "")))</f>
        <v/>
      </c>
      <c r="CT18" s="105" t="str">
        <f>IF(ISNUMBER(V18), IF(IsBold(V18), TIME(0,0,0), TIME(8,0,0)), "")</f>
        <v/>
      </c>
      <c r="CU18" s="105" t="str">
        <f>IF(CT18=TIME(0,0,0), CT18 + (V18/24),
 IF(AND(V18&gt;6, V18&lt;10, CT18&gt;=TIME(8,0,0), CT18&lt;TIME(21,0,0)), CT18 + ((V18+0.5)/24),
 IF(AND(V18&gt;10, V18&lt;16.1, CT18&gt;=TIME(7,59,0), CT18&lt;TIME(16,0,0)), CT18 + (V18/24), "")))</f>
        <v/>
      </c>
      <c r="CV18" s="105" t="str">
        <f>IF(ISNUMBER(W18), IF(IsBold(W18), TIME(0,0,0), TIME(8,0,0)), "")</f>
        <v/>
      </c>
      <c r="CW18" s="105" t="str">
        <f>IF(CV18=TIME(0,0,0), CV18 + (W18/24),
 IF(AND(W18&gt;6, W18&lt;10, CV18&gt;=TIME(8,0,0), CV18&lt;TIME(21,0,0)), CV18 + ((W18+0.5)/24),
 IF(AND(W18&gt;10, W18&lt;16.1, CV18&gt;=TIME(7,59,0), CV18&lt;TIME(16,0,0)), CV18 + (W18/24), "")))</f>
        <v/>
      </c>
      <c r="CX18" s="105" t="str">
        <f>IF(ISNUMBER(X18), IF(IsBold(X18), TIME(0,0,0), TIME(8,0,0)), "")</f>
        <v/>
      </c>
      <c r="CY18" s="105" t="str">
        <f>IF(CX18=TIME(0,0,0), CX18 + (X18/24),
 IF(AND(X18&gt;6, X18&lt;10, CX18&gt;=TIME(8,0,0), CX18&lt;TIME(21,0,0)), CX18 + ((X18+0.5)/24),
 IF(AND(X18&gt;10, X18&lt;16.1, CX18&gt;=TIME(7,59,0), CX18&lt;TIME(16,0,0)), CX18 + (X18/24), "")))</f>
        <v/>
      </c>
      <c r="CZ18" s="105" t="str">
        <f>IF(ISNUMBER(Y18), IF(IsBold(Y18), TIME(0,0,0), TIME(8,0,0)), "")</f>
        <v/>
      </c>
      <c r="DA18" s="105" t="str">
        <f>IF(CZ18=TIME(0,0,0), CZ18 + (Y18/24),
 IF(AND(Y18&gt;6, Y18&lt;10, CZ18&gt;=TIME(8,0,0), CZ18&lt;TIME(21,0,0)), CZ18 + ((Y18+0.5)/24),
 IF(AND(Y18&gt;10, Y18&lt;16.1, CZ18&gt;=TIME(7,59,0), CZ18&lt;TIME(16,0,0)), CZ18 + (Y18/24), "")))</f>
        <v/>
      </c>
      <c r="DB18" s="105" t="str">
        <f>IF(ISNUMBER(Z18), IF(IsBold(Z18), TIME(0,0,0), TIME(8,0,0)), "")</f>
        <v/>
      </c>
      <c r="DC18" s="105" t="str">
        <f>IF(DB18=TIME(0,0,0), DB18 + (Z18/24),
 IF(AND(Z18&gt;6, Z18&lt;10, DB18&gt;=TIME(8,0,0), DB18&lt;TIME(21,0,0)), DB18 + ((Z18+0.5)/24),
 IF(AND(Z18&gt;10, Z18&lt;16.1, DB18&gt;=TIME(7,59,0), DB18&lt;TIME(16,0,0)), DB18 + (Z18/24), "")))</f>
        <v/>
      </c>
      <c r="DD18" s="106" t="str">
        <f>IF(ISNUMBER(AA18), IF(IsBold(AA18), TIME(0,0,0), TIME(8,0,0)), "")</f>
        <v/>
      </c>
      <c r="DE18" s="105" t="str">
        <f>IF(DD18=TIME(0,0,0), DD18 + (AA18/24),
 IF(AND(AA18&gt;6, AA18&lt;10, DD18&gt;=TIME(8,0,0), DD18&lt;TIME(21,0,0)), DD18 + ((AA18+0.5)/24),
 IF(AND(AA18&gt;10, AA18&lt;16.1, DD18&gt;=TIME(7,59,0), DD18&lt;TIME(16,0,0)), DD18 + (AA18/24), "")))</f>
        <v/>
      </c>
      <c r="DF18" s="106" t="str">
        <f>IF(ISNUMBER(AB18), IF(IsBold(AB18), TIME(0,0,0), TIME(8,0,0)), "")</f>
        <v/>
      </c>
      <c r="DG18" s="105" t="str">
        <f>IF(DF18=TIME(0,0,0), DF18 + (AB18/24),
 IF(AND(AB18&gt;6, AB18&lt;10, DF18&gt;=TIME(8,0,0), DF18&lt;TIME(21,0,0)), DF18 + ((AB18+0.5)/24),
 IF(AND(AB18&gt;10, AB18&lt;16.1, DF18&gt;=TIME(7,59,0), DF18&lt;TIME(16,0,0)), DF18 + (AB18/24), "")))</f>
        <v/>
      </c>
      <c r="DH18" s="105" t="str">
        <f>IF(ISNUMBER(AC18), IF(IsBold(AC18), TIME(0,0,0), TIME(8,0,0)), "")</f>
        <v/>
      </c>
      <c r="DI18" s="105" t="str">
        <f>IF(DH18=TIME(0,0,0), DH18 + (AC18/24),
 IF(AND(AC18&gt;6, AC18&lt;10, DH18&gt;=TIME(8,0,0), DH18&lt;TIME(21,0,0)), DH18 + ((AC18+0.5)/24),
 IF(AND(AC18&gt;10, AC18&lt;16.1, DH18&gt;=TIME(7,59,0), DH18&lt;TIME(16,0,0)), DH18 + (AC18/24), "")))</f>
        <v/>
      </c>
      <c r="DJ18" s="105" t="str">
        <f>IF(ISNUMBER(AD18), IF(IsBold(AD18), TIME(0,0,0), TIME(8,0,0)), "")</f>
        <v/>
      </c>
      <c r="DK18" s="105" t="str">
        <f>IF(DJ18=TIME(0,0,0), DJ18 + (AD18/24),
 IF(AND(AD18&gt;6, AD18&lt;10, DJ18&gt;=TIME(8,0,0), DJ18&lt;TIME(21,0,0)), DJ18 + ((AD18+0.5)/24),
 IF(AND(AD18&gt;10, AD18&lt;16.1, DJ18&gt;=TIME(7,59,0), DJ18&lt;TIME(16,0,0)), DJ18 + (AD18/24), "")))</f>
        <v/>
      </c>
      <c r="DL18" s="105" t="str">
        <f>IF(ISNUMBER(AE18), IF(IsBold(AE18), TIME(0,0,0), TIME(8,0,0)), "")</f>
        <v/>
      </c>
      <c r="DM18" s="105" t="str">
        <f>IF(DL18=TIME(0,0,0), DL18 + (AE18/24),
 IF(AND(AE18&gt;6, AE18&lt;10, DL18&gt;=TIME(8,0,0), DL18&lt;TIME(21,0,0)), DL18 + ((AE18+0.5)/24),
 IF(AND(AE18&gt;10, AE18&lt;16.1, DL18&gt;=TIME(7,59,0), DL18&lt;TIME(16,0,0)), DL18 + (AE18/24), "")))</f>
        <v/>
      </c>
      <c r="DN18" s="105" t="str">
        <f>IF(ISNUMBER(AF18), IF(IsBold(AF18), TIME(0,0,0), TIME(8,0,0)), "")</f>
        <v/>
      </c>
      <c r="DO18" s="105" t="str">
        <f>IF(DN18=TIME(0,0,0), DN18 + (AF18/24),
 IF(AND(AF18&gt;6, AF18&lt;10, DN18&gt;=TIME(8,0,0), DN18&lt;TIME(21,0,0)), DN18 + ((AF18+0.5)/24),
 IF(AND(AF18&gt;10, AF18&lt;16.1, DN18&gt;=TIME(7,59,0), DN18&lt;TIME(16,0,0)), DN18 + (AF18/24), "")))</f>
        <v/>
      </c>
      <c r="DP18" s="105" t="str">
        <f>IF(ISNUMBER(AG18), IF(IsBold(AG18), TIME(0,0,0), TIME(8,0,0)), "")</f>
        <v/>
      </c>
      <c r="DQ18" s="105" t="str">
        <f>IF(DP18=TIME(0,0,0), DP18 + (AG18/24),
 IF(AND(AG18&gt;6, AG18&lt;10, DP18&gt;=TIME(8,0,0), DP18&lt;TIME(21,0,0)), DP18 + ((AG18+0.5)/24),
 IF(AND(AG18&gt;10, AG18&lt;16.1, DP18&gt;=TIME(7,59,0), DP18&lt;TIME(16,0,0)), DP18 + (AG18/24), "")))</f>
        <v/>
      </c>
      <c r="DR18" s="105" t="str">
        <f>IF(ISNUMBER(AH18), IF(IsBold(AH18), TIME(0,0,0), TIME(8,0,0)), "")</f>
        <v/>
      </c>
      <c r="DS18" s="105" t="str">
        <f>IF(DR18=TIME(0,0,0), DR18 + (AH18/24),
 IF(AND(AH18&gt;6, AH18&lt;10, DR18&gt;=TIME(8,0,0), DR18&lt;TIME(21,0,0)), DR18 + ((AH18+0.5)/24),
 IF(AND(AH18&gt;10, AH18&lt;16.1, DR18&gt;=TIME(7,59,0), DR18&lt;TIME(16,0,0)), DR18 + (AH18/24), "")))</f>
        <v/>
      </c>
      <c r="DT18" s="105" t="str">
        <f>IF(ISNUMBER(AI18), IF(IsBold(AI18), TIME(0,0,0), TIME(8,0,0)), "")</f>
        <v/>
      </c>
      <c r="DU18" s="105" t="str">
        <f>IF(DT18=TIME(0,0,0), DT18 + (AI18/24),
 IF(AND(AI18&gt;6, AI18&lt;10, DT18&gt;=TIME(8,0,0), DT18&lt;TIME(21,0,0)), DT18 + ((AI18+0.5)/24),
 IF(AND(AI18&gt;10, AI18&lt;16.1, DT18&gt;=TIME(7,59,0), DT18&lt;TIME(16,0,0)), DT18 + (AI18/24), "")))</f>
        <v/>
      </c>
      <c r="DV18" s="110">
        <f t="shared" si="2"/>
        <v>0</v>
      </c>
    </row>
    <row r="19" spans="1:126" ht="15" thickBot="1" x14ac:dyDescent="0.35">
      <c r="A19" s="12">
        <v>9</v>
      </c>
      <c r="B19" s="86"/>
      <c r="C19" s="77"/>
      <c r="D19" s="78"/>
      <c r="E19" s="74"/>
      <c r="F19" s="82"/>
      <c r="G19" s="83"/>
      <c r="H19" s="84"/>
      <c r="I19" s="82"/>
      <c r="J19" s="82"/>
      <c r="K19" s="83"/>
      <c r="L19" s="84"/>
      <c r="M19" s="82"/>
      <c r="N19" s="82"/>
      <c r="O19" s="83"/>
      <c r="P19" s="84"/>
      <c r="Q19" s="82"/>
      <c r="R19" s="82"/>
      <c r="S19" s="83"/>
      <c r="T19" s="84"/>
      <c r="U19" s="82"/>
      <c r="V19" s="82"/>
      <c r="W19" s="83"/>
      <c r="X19" s="84"/>
      <c r="Y19" s="82"/>
      <c r="Z19" s="82"/>
      <c r="AA19" s="83"/>
      <c r="AB19" s="84"/>
      <c r="AC19" s="82"/>
      <c r="AD19" s="82"/>
      <c r="AE19" s="83"/>
      <c r="AF19" s="84"/>
      <c r="AG19" s="74"/>
      <c r="AH19" s="74"/>
      <c r="AI19" s="74"/>
      <c r="AJ19" s="90">
        <f>COUNTIFS(E19:AI19,"&gt;0", E19:AI19,"&lt;&gt;"&amp;"")</f>
        <v>0</v>
      </c>
      <c r="AK19" s="91">
        <f>COUNTIF(E19:AI19, "ВП")</f>
        <v>0</v>
      </c>
      <c r="AL19" s="95">
        <f>COUNTIF(E19:AI19, "ВД")</f>
        <v>0</v>
      </c>
      <c r="AM19" s="91">
        <f>SumBoldNumbers(E19:AI19)</f>
        <v>0</v>
      </c>
      <c r="AN19" s="91">
        <f>SUM(CountWeekendDays(E10)+COUNTIF(E19:AI19,"С"))</f>
        <v>9</v>
      </c>
      <c r="AO19" s="96">
        <f>SUM(E19:AI19)</f>
        <v>0</v>
      </c>
      <c r="AP19" s="93">
        <f>(DAY(EOMONTH(E10, 0)) - AN19 - AK19) * AU19  * D19</f>
        <v>0</v>
      </c>
      <c r="AQ19" s="94">
        <f t="shared" si="6"/>
        <v>0</v>
      </c>
      <c r="AR19" s="101" t="e">
        <f t="shared" si="3"/>
        <v>#DIV/0!</v>
      </c>
      <c r="AU19" s="29">
        <f>IF(C19="вихователь", 6, IF(C19="каштелян", 8, IF(C19="буфетниця", 8, IF(C19="молодша м/с", 8, IF(C19="сестр. госп.", 8, 7.7)))))</f>
        <v>7.7</v>
      </c>
      <c r="BA19" s="18">
        <f>A19</f>
        <v>9</v>
      </c>
      <c r="BB19" s="102">
        <f>B19</f>
        <v>0</v>
      </c>
      <c r="BC19" s="103">
        <f>C19</f>
        <v>0</v>
      </c>
      <c r="BD19" s="104" t="str">
        <f>IF(ISNUMBER(E19), IF(IsBold(E19), TIME(0,0,0), TIME(8,0,0)), "")</f>
        <v/>
      </c>
      <c r="BE19" s="105" t="str">
        <f>IF(BD19=TIME(0,0,0), BD19 + (E19/24),
 IF(AND(E19&gt;6, E19&lt;10, BD19&gt;=TIME(8,0,0), BD19&lt;TIME(21,0,0)), BD19 + ((E19+0.5)/24),
 IF(AND(E19&gt;10, E19&lt;16.1, BD19&gt;=TIME(7,59,0), BD19&lt;TIME(16,0,0)), BD19 + (E19/24), "")))</f>
        <v/>
      </c>
      <c r="BF19" s="105" t="str">
        <f>IF(ISNUMBER(F19), IF(IsBold(F19), TIME(0,0,0), TIME(8,0,0)), "")</f>
        <v/>
      </c>
      <c r="BG19" s="105" t="str">
        <f>IF(BF19=TIME(0,0,0), BF19 + (F19/24),
 IF(AND(F19&gt;6, F19&lt;10, BF19&gt;=TIME(8,0,0), BF19&lt;TIME(21,0,0)), BF19 + ((F19+0.5)/24),
 IF(AND(F19&gt;10, F19&lt;16.1, BF19&gt;=TIME(7,59,0), BF19&lt;TIME(16,0,0)), BF19 + (F19/24), "")))</f>
        <v/>
      </c>
      <c r="BH19" s="105" t="str">
        <f>IF(ISNUMBER(G19), IF(IsBold(G19), TIME(0,0,0), TIME(8,0,0)), "")</f>
        <v/>
      </c>
      <c r="BI19" s="105" t="str">
        <f>IF(BH19=TIME(0,0,0), BH19 + (G19/24),
 IF(AND(G19&gt;6, G19&lt;10, BH19&gt;=TIME(8,0,0), BH19&lt;TIME(21,0,0)), BH19 + ((G19+0.5)/24),
 IF(AND(G19&gt;10, G19&lt;16.1, BH19&gt;=TIME(7,59,0), BH19&lt;TIME(16,0,0)), BH19 + (G19/24), "")))</f>
        <v/>
      </c>
      <c r="BJ19" s="105" t="str">
        <f>IF(ISNUMBER(H19), IF(IsBold(H19), TIME(0,0,0), TIME(8,0,0)), "")</f>
        <v/>
      </c>
      <c r="BK19" s="105" t="str">
        <f>IF(BJ19=TIME(0,0,0), BJ19 + (H19/24),
 IF(AND(H19&gt;6, H19&lt;10, BJ19&gt;=TIME(8,0,0), BJ19&lt;TIME(21,0,0)), BJ19 + ((H19+0.5)/24),
 IF(AND(H19&gt;10, H19&lt;16.1, BJ19&gt;=TIME(7,59,0), BJ19&lt;TIME(16,0,0)), BJ19 + (H19/24), "")))</f>
        <v/>
      </c>
      <c r="BL19" s="105" t="str">
        <f>IF(ISNUMBER(I19), IF(IsBold(I19), TIME(0,0,0), TIME(8,0,0)), "")</f>
        <v/>
      </c>
      <c r="BM19" s="105" t="str">
        <f>IF(BL19=TIME(0,0,0), BL19 + (I19/24),
 IF(AND(I19&gt;6, I19&lt;10, BL19&gt;=TIME(8,0,0), BL19&lt;TIME(21,0,0)), BL19 + ((I19+0.5)/24),
 IF(AND(I19&gt;10, I19&lt;16.1, BL19&gt;=TIME(7,59,0), BL19&lt;TIME(16,0,0)), BL19 + (I19/24), "")))</f>
        <v/>
      </c>
      <c r="BN19" s="105" t="str">
        <f>IF(ISNUMBER(J19), IF(IsBold(J19), TIME(0,0,0), TIME(8,0,0)), "")</f>
        <v/>
      </c>
      <c r="BO19" s="105" t="str">
        <f>IF(BN19=TIME(0,0,0), BN19 + (J19/24),
 IF(AND(J19&gt;6, J19&lt;10, BN19&gt;=TIME(8,0,0), BN19&lt;TIME(21,0,0)), BN19 + ((J19+0.5)/24),
 IF(AND(J19&gt;10, J19&lt;16.1, BN19&gt;=TIME(7,59,0), BN19&lt;TIME(16,0,0)), BN19 + (J19/24), "")))</f>
        <v/>
      </c>
      <c r="BP19" s="105" t="str">
        <f>IF(ISNUMBER(K19), IF(IsBold(K19), TIME(0,0,0), TIME(8,0,0)), "")</f>
        <v/>
      </c>
      <c r="BQ19" s="105" t="str">
        <f>IF(BP19=TIME(0,0,0), BP19 + (K19/24),
 IF(AND(K19&gt;6, K19&lt;10, BP19&gt;=TIME(8,0,0), BP19&lt;TIME(21,0,0)), BP19 + ((K19+0.5)/24),
 IF(AND(K19&gt;10, K19&lt;16.1, BP19&gt;=TIME(7,59,0), BP19&lt;TIME(16,0,0)), BP19 + (K19/24), "")))</f>
        <v/>
      </c>
      <c r="BR19" s="106" t="str">
        <f>IF(ISNUMBER(L19), IF(IsBold(L19), TIME(0,0,0), TIME(8,0,0)), "")</f>
        <v/>
      </c>
      <c r="BS19" s="105" t="str">
        <f>IF(BR19=TIME(0,0,0), BR19 + (L19/24),
 IF(AND(L19&gt;6, L19&lt;10, BR19&gt;=TIME(8,0,0), BR19&lt;TIME(21,0,0)), BR19 + ((L19+0.5)/24),
 IF(AND(L19&gt;10, L19&lt;16.1, BR19&gt;=TIME(7,59,0), BR19&lt;TIME(16,0,0)), BR19 + (L19/24), "")))</f>
        <v/>
      </c>
      <c r="BT19" s="106" t="str">
        <f>IF(ISNUMBER(M19), IF(IsBold(M19), TIME(0,0,0), TIME(8,0,0)), "")</f>
        <v/>
      </c>
      <c r="BU19" s="105" t="str">
        <f>IF(BT19=TIME(0,0,0), BT19 + (M19/24),
 IF(AND(M19&gt;6, M19&lt;10, BT19&gt;=TIME(8,0,0), BT19&lt;TIME(21,0,0)), BT19 + ((M19+0.5)/24),
 IF(AND(M19&gt;10, M19&lt;16.1, BT19&gt;=TIME(7,59,0), BT19&lt;TIME(16,0,0)), BT19 + (M19/24), "")))</f>
        <v/>
      </c>
      <c r="BV19" s="105" t="str">
        <f>IF(ISNUMBER(N19), IF(IsBold(N19), TIME(0,0,0), TIME(8,0,0)), "")</f>
        <v/>
      </c>
      <c r="BW19" s="105" t="str">
        <f>IF(BV19=TIME(0,0,0), BV19 + (N19/24),
 IF(AND(N19&gt;6, N19&lt;10, BV19&gt;=TIME(8,0,0), BV19&lt;TIME(21,0,0)), BV19 + ((N19+0.5)/24),
 IF(AND(N19&gt;10, N19&lt;16.1, BV19&gt;=TIME(7,59,0), BV19&lt;TIME(16,0,0)), BV19 + (N19/24), "")))</f>
        <v/>
      </c>
      <c r="BX19" s="105" t="str">
        <f>IF(ISNUMBER(O19), IF(IsBold(O19), TIME(0,0,0), TIME(8,0,0)), "")</f>
        <v/>
      </c>
      <c r="BY19" s="105" t="str">
        <f>IF(BX19=TIME(0,0,0), BX19 + (O19/24),
 IF(AND(O19&gt;6, O19&lt;10, BX19&gt;=TIME(8,0,0), BX19&lt;TIME(21,0,0)), BX19 + ((O19+0.5)/24),
 IF(AND(O19&gt;10, O19&lt;16.1, BX19&gt;=TIME(7,59,0), BX19&lt;TIME(16,0,0)), BX19 + (O19/24), "")))</f>
        <v/>
      </c>
      <c r="BZ19" s="105" t="str">
        <f>IF(ISNUMBER(P19), IF(IsBold(P19), TIME(0,0,0), TIME(8,0,0)), "")</f>
        <v/>
      </c>
      <c r="CA19" s="105" t="str">
        <f>IF(BZ19=TIME(0,0,0), BZ19 + (P19/24),
 IF(AND(P19&gt;6, P19&lt;10, BZ19&gt;=TIME(8,0,0), BZ19&lt;TIME(21,0,0)), BZ19 + ((P19+0.5)/24),
 IF(AND(P19&gt;10, P19&lt;16.1, BZ19&gt;=TIME(7,59,0), BZ19&lt;TIME(16,0,0)), BZ19 + (P19/24), "")))</f>
        <v/>
      </c>
      <c r="CB19" s="105" t="str">
        <f>IF(ISNUMBER(Q19), IF(IsBold(Q19), TIME(0,0,0), TIME(8,0,0)), "")</f>
        <v/>
      </c>
      <c r="CC19" s="105" t="str">
        <f>IF(CB19=TIME(0,0,0), CB19 + (Q19/24),
 IF(AND(Q19&gt;6, Q19&lt;10, CB19&gt;=TIME(8,0,0), CB19&lt;TIME(21,0,0)), CB19 + ((Q19+0.5)/24),
 IF(AND(Q19&gt;10, Q19&lt;16.1, CB19&gt;=TIME(7,59,0), CB19&lt;TIME(16,0,0)), CB19 + (Q19/24), "")))</f>
        <v/>
      </c>
      <c r="CD19" s="105" t="str">
        <f>IF(ISNUMBER(R19), IF(IsBold(R19), TIME(0,0,0), TIME(8,0,0)), "")</f>
        <v/>
      </c>
      <c r="CE19" s="105" t="str">
        <f>IF(CD19=TIME(0,0,0), CD19 + (R19/24),
 IF(AND(R19&gt;6, R19&lt;10, CD19&gt;=TIME(8,0,0), CD19&lt;TIME(21,0,0)), CD19 + ((R19+0.5)/24),
 IF(AND(R19&gt;10, R19&lt;16.1, CD19&gt;=TIME(7,59,0), CD19&lt;TIME(16,0,0)), CD19 + (R19/24), "")))</f>
        <v/>
      </c>
      <c r="CF19" s="105" t="str">
        <f>IF(ISNUMBER(S19), IF(IsBold(S19), TIME(0,0,0), TIME(8,0,0)), "")</f>
        <v/>
      </c>
      <c r="CG19" s="105" t="str">
        <f>IF(CF19=TIME(0,0,0), CF19 + (S19/24),
 IF(AND(S19&gt;6, S19&lt;10, CF19&gt;=TIME(8,0,0), CF19&lt;TIME(21,0,0)), CF19 + ((S19+0.5)/24),
 IF(AND(S19&gt;10, S19&lt;16.1, CF19&gt;=TIME(7,59,0), CF19&lt;TIME(16,0,0)), CF19 + (S19/24), "")))</f>
        <v/>
      </c>
      <c r="CM19" s="18">
        <f>A19</f>
        <v>9</v>
      </c>
      <c r="CN19" s="107">
        <f>B19</f>
        <v>0</v>
      </c>
      <c r="CO19" s="103">
        <f>C19</f>
        <v>0</v>
      </c>
      <c r="CP19" s="104" t="str">
        <f>IF(ISNUMBER(T19), IF(IsBold(T19), TIME(0,0,0), TIME(8,0,0)), "")</f>
        <v/>
      </c>
      <c r="CQ19" s="105" t="str">
        <f>IF(CP19=TIME(0,0,0), CP19 + (T19/24),
 IF(AND(T19&gt;6, T19&lt;10, CP19&gt;=TIME(8,0,0), CP19&lt;TIME(21,0,0)), CP19 + ((T19+0.5)/24),
 IF(AND(T19&gt;10, T19&lt;16.1, CP19&gt;=TIME(7,59,0), CP19&lt;TIME(16,0,0)), CP19 + (T19/24), "")))</f>
        <v/>
      </c>
      <c r="CR19" s="104" t="str">
        <f>IF(ISNUMBER(U19), IF(IsBold(U19), TIME(0,0,0), TIME(8,0,0)), "")</f>
        <v/>
      </c>
      <c r="CS19" s="105" t="str">
        <f>IF(CR19=TIME(0,0,0), CR19 + (U19/24),
 IF(AND(U19&gt;6, U19&lt;10, CR19&gt;=TIME(8,0,0), CR19&lt;TIME(21,0,0)), CR19 + ((U19+0.5)/24),
 IF(AND(U19&gt;10, U19&lt;16.1, CR19&gt;=TIME(7,59,0), CR19&lt;TIME(16,0,0)), CR19 + (U19/24), "")))</f>
        <v/>
      </c>
      <c r="CT19" s="105" t="str">
        <f>IF(ISNUMBER(V19), IF(IsBold(V19), TIME(0,0,0), TIME(8,0,0)), "")</f>
        <v/>
      </c>
      <c r="CU19" s="105" t="str">
        <f>IF(CT19=TIME(0,0,0), CT19 + (V19/24),
 IF(AND(V19&gt;6, V19&lt;10, CT19&gt;=TIME(8,0,0), CT19&lt;TIME(21,0,0)), CT19 + ((V19+0.5)/24),
 IF(AND(V19&gt;10, V19&lt;16.1, CT19&gt;=TIME(7,59,0), CT19&lt;TIME(16,0,0)), CT19 + (V19/24), "")))</f>
        <v/>
      </c>
      <c r="CV19" s="105" t="str">
        <f>IF(ISNUMBER(W19), IF(IsBold(W19), TIME(0,0,0), TIME(8,0,0)), "")</f>
        <v/>
      </c>
      <c r="CW19" s="105" t="str">
        <f>IF(CV19=TIME(0,0,0), CV19 + (W19/24),
 IF(AND(W19&gt;6, W19&lt;10, CV19&gt;=TIME(8,0,0), CV19&lt;TIME(21,0,0)), CV19 + ((W19+0.5)/24),
 IF(AND(W19&gt;10, W19&lt;16.1, CV19&gt;=TIME(7,59,0), CV19&lt;TIME(16,0,0)), CV19 + (W19/24), "")))</f>
        <v/>
      </c>
      <c r="CX19" s="105" t="str">
        <f>IF(ISNUMBER(X19), IF(IsBold(X19), TIME(0,0,0), TIME(8,0,0)), "")</f>
        <v/>
      </c>
      <c r="CY19" s="105" t="str">
        <f>IF(CX19=TIME(0,0,0), CX19 + (X19/24),
 IF(AND(X19&gt;6, X19&lt;10, CX19&gt;=TIME(8,0,0), CX19&lt;TIME(21,0,0)), CX19 + ((X19+0.5)/24),
 IF(AND(X19&gt;10, X19&lt;16.1, CX19&gt;=TIME(7,59,0), CX19&lt;TIME(16,0,0)), CX19 + (X19/24), "")))</f>
        <v/>
      </c>
      <c r="CZ19" s="105" t="str">
        <f>IF(ISNUMBER(Y19), IF(IsBold(Y19), TIME(0,0,0), TIME(8,0,0)), "")</f>
        <v/>
      </c>
      <c r="DA19" s="105" t="str">
        <f>IF(CZ19=TIME(0,0,0), CZ19 + (Y19/24),
 IF(AND(Y19&gt;6, Y19&lt;10, CZ19&gt;=TIME(8,0,0), CZ19&lt;TIME(21,0,0)), CZ19 + ((Y19+0.5)/24),
 IF(AND(Y19&gt;10, Y19&lt;16.1, CZ19&gt;=TIME(7,59,0), CZ19&lt;TIME(16,0,0)), CZ19 + (Y19/24), "")))</f>
        <v/>
      </c>
      <c r="DB19" s="105" t="str">
        <f>IF(ISNUMBER(Z19), IF(IsBold(Z19), TIME(0,0,0), TIME(8,0,0)), "")</f>
        <v/>
      </c>
      <c r="DC19" s="105" t="str">
        <f>IF(DB19=TIME(0,0,0), DB19 + (Z19/24),
 IF(AND(Z19&gt;6, Z19&lt;10, DB19&gt;=TIME(8,0,0), DB19&lt;TIME(21,0,0)), DB19 + ((Z19+0.5)/24),
 IF(AND(Z19&gt;10, Z19&lt;16.1, DB19&gt;=TIME(7,59,0), DB19&lt;TIME(16,0,0)), DB19 + (Z19/24), "")))</f>
        <v/>
      </c>
      <c r="DD19" s="106" t="str">
        <f>IF(ISNUMBER(AA19), IF(IsBold(AA19), TIME(0,0,0), TIME(8,0,0)), "")</f>
        <v/>
      </c>
      <c r="DE19" s="105" t="str">
        <f>IF(DD19=TIME(0,0,0), DD19 + (AA19/24),
 IF(AND(AA19&gt;6, AA19&lt;10, DD19&gt;=TIME(8,0,0), DD19&lt;TIME(21,0,0)), DD19 + ((AA19+0.5)/24),
 IF(AND(AA19&gt;10, AA19&lt;16.1, DD19&gt;=TIME(7,59,0), DD19&lt;TIME(16,0,0)), DD19 + (AA19/24), "")))</f>
        <v/>
      </c>
      <c r="DF19" s="106" t="str">
        <f>IF(ISNUMBER(AB19), IF(IsBold(AB19), TIME(0,0,0), TIME(8,0,0)), "")</f>
        <v/>
      </c>
      <c r="DG19" s="105" t="str">
        <f>IF(DF19=TIME(0,0,0), DF19 + (AB19/24),
 IF(AND(AB19&gt;6, AB19&lt;10, DF19&gt;=TIME(8,0,0), DF19&lt;TIME(21,0,0)), DF19 + ((AB19+0.5)/24),
 IF(AND(AB19&gt;10, AB19&lt;16.1, DF19&gt;=TIME(7,59,0), DF19&lt;TIME(16,0,0)), DF19 + (AB19/24), "")))</f>
        <v/>
      </c>
      <c r="DH19" s="105" t="str">
        <f>IF(ISNUMBER(AC19), IF(IsBold(AC19), TIME(0,0,0), TIME(8,0,0)), "")</f>
        <v/>
      </c>
      <c r="DI19" s="105" t="str">
        <f>IF(DH19=TIME(0,0,0), DH19 + (AC19/24),
 IF(AND(AC19&gt;6, AC19&lt;10, DH19&gt;=TIME(8,0,0), DH19&lt;TIME(21,0,0)), DH19 + ((AC19+0.5)/24),
 IF(AND(AC19&gt;10, AC19&lt;16.1, DH19&gt;=TIME(7,59,0), DH19&lt;TIME(16,0,0)), DH19 + (AC19/24), "")))</f>
        <v/>
      </c>
      <c r="DJ19" s="105" t="str">
        <f>IF(ISNUMBER(AD19), IF(IsBold(AD19), TIME(0,0,0), TIME(8,0,0)), "")</f>
        <v/>
      </c>
      <c r="DK19" s="105" t="str">
        <f>IF(DJ19=TIME(0,0,0), DJ19 + (AD19/24),
 IF(AND(AD19&gt;6, AD19&lt;10, DJ19&gt;=TIME(8,0,0), DJ19&lt;TIME(21,0,0)), DJ19 + ((AD19+0.5)/24),
 IF(AND(AD19&gt;10, AD19&lt;16.1, DJ19&gt;=TIME(7,59,0), DJ19&lt;TIME(16,0,0)), DJ19 + (AD19/24), "")))</f>
        <v/>
      </c>
      <c r="DL19" s="105" t="str">
        <f>IF(ISNUMBER(AE19), IF(IsBold(AE19), TIME(0,0,0), TIME(8,0,0)), "")</f>
        <v/>
      </c>
      <c r="DM19" s="105" t="str">
        <f>IF(DL19=TIME(0,0,0), DL19 + (AE19/24),
 IF(AND(AE19&gt;6, AE19&lt;10, DL19&gt;=TIME(8,0,0), DL19&lt;TIME(21,0,0)), DL19 + ((AE19+0.5)/24),
 IF(AND(AE19&gt;10, AE19&lt;16.1, DL19&gt;=TIME(7,59,0), DL19&lt;TIME(16,0,0)), DL19 + (AE19/24), "")))</f>
        <v/>
      </c>
      <c r="DN19" s="105" t="str">
        <f>IF(ISNUMBER(AF19), IF(IsBold(AF19), TIME(0,0,0), TIME(8,0,0)), "")</f>
        <v/>
      </c>
      <c r="DO19" s="105" t="str">
        <f>IF(DN19=TIME(0,0,0), DN19 + (AF19/24),
 IF(AND(AF19&gt;6, AF19&lt;10, DN19&gt;=TIME(8,0,0), DN19&lt;TIME(21,0,0)), DN19 + ((AF19+0.5)/24),
 IF(AND(AF19&gt;10, AF19&lt;16.1, DN19&gt;=TIME(7,59,0), DN19&lt;TIME(16,0,0)), DN19 + (AF19/24), "")))</f>
        <v/>
      </c>
      <c r="DP19" s="105" t="str">
        <f>IF(ISNUMBER(AG19), IF(IsBold(AG19), TIME(0,0,0), TIME(8,0,0)), "")</f>
        <v/>
      </c>
      <c r="DQ19" s="105" t="str">
        <f>IF(DP19=TIME(0,0,0), DP19 + (AG19/24),
 IF(AND(AG19&gt;6, AG19&lt;10, DP19&gt;=TIME(8,0,0), DP19&lt;TIME(21,0,0)), DP19 + ((AG19+0.5)/24),
 IF(AND(AG19&gt;10, AG19&lt;16.1, DP19&gt;=TIME(7,59,0), DP19&lt;TIME(16,0,0)), DP19 + (AG19/24), "")))</f>
        <v/>
      </c>
      <c r="DR19" s="105" t="str">
        <f>IF(ISNUMBER(AH19), IF(IsBold(AH19), TIME(0,0,0), TIME(8,0,0)), "")</f>
        <v/>
      </c>
      <c r="DS19" s="105" t="str">
        <f>IF(DR19=TIME(0,0,0), DR19 + (AH19/24),
 IF(AND(AH19&gt;6, AH19&lt;10, DR19&gt;=TIME(8,0,0), DR19&lt;TIME(21,0,0)), DR19 + ((AH19+0.5)/24),
 IF(AND(AH19&gt;10, AH19&lt;16.1, DR19&gt;=TIME(7,59,0), DR19&lt;TIME(16,0,0)), DR19 + (AH19/24), "")))</f>
        <v/>
      </c>
      <c r="DT19" s="105" t="str">
        <f>IF(ISNUMBER(AI19), IF(IsBold(AI19), TIME(0,0,0), TIME(8,0,0)), "")</f>
        <v/>
      </c>
      <c r="DU19" s="105" t="str">
        <f>IF(DT19=TIME(0,0,0), DT19 + (AI19/24),
 IF(AND(AI19&gt;6, AI19&lt;10, DT19&gt;=TIME(8,0,0), DT19&lt;TIME(21,0,0)), DT19 + ((AI19+0.5)/24),
 IF(AND(AI19&gt;10, AI19&lt;16.1, DT19&gt;=TIME(7,59,0), DT19&lt;TIME(16,0,0)), DT19 + (AI19/24), "")))</f>
        <v/>
      </c>
      <c r="DV19" s="110">
        <f t="shared" si="2"/>
        <v>0</v>
      </c>
    </row>
    <row r="20" spans="1:126" ht="15" thickBot="1" x14ac:dyDescent="0.35">
      <c r="A20" s="12">
        <v>10</v>
      </c>
      <c r="B20" s="87"/>
      <c r="C20" s="77"/>
      <c r="D20" s="78"/>
      <c r="E20" s="74"/>
      <c r="F20" s="82"/>
      <c r="G20" s="83"/>
      <c r="H20" s="84"/>
      <c r="I20" s="82"/>
      <c r="J20" s="82"/>
      <c r="K20" s="83"/>
      <c r="L20" s="84"/>
      <c r="M20" s="82"/>
      <c r="N20" s="82"/>
      <c r="O20" s="83"/>
      <c r="P20" s="84"/>
      <c r="Q20" s="82"/>
      <c r="R20" s="82"/>
      <c r="S20" s="83"/>
      <c r="T20" s="84"/>
      <c r="U20" s="82"/>
      <c r="V20" s="82"/>
      <c r="W20" s="83"/>
      <c r="X20" s="84"/>
      <c r="Y20" s="82"/>
      <c r="Z20" s="82"/>
      <c r="AA20" s="83"/>
      <c r="AB20" s="84"/>
      <c r="AC20" s="82"/>
      <c r="AD20" s="82"/>
      <c r="AE20" s="83"/>
      <c r="AF20" s="84"/>
      <c r="AG20" s="74"/>
      <c r="AH20" s="74"/>
      <c r="AI20" s="74"/>
      <c r="AJ20" s="90">
        <f>COUNTIFS(E20:AI20,"&gt;0", E20:AI20,"&lt;&gt;"&amp;"")</f>
        <v>0</v>
      </c>
      <c r="AK20" s="91">
        <f>COUNTIF(E20:AI20, "ВП")</f>
        <v>0</v>
      </c>
      <c r="AL20" s="95">
        <f>COUNTIF(E20:AI20, "ВД")</f>
        <v>0</v>
      </c>
      <c r="AM20" s="91">
        <f>SumBoldNumbers(E20:AI20)</f>
        <v>0</v>
      </c>
      <c r="AN20" s="91">
        <f>SUM(CountWeekendDays(E10)+COUNTIF(E20:AI20,"С"))</f>
        <v>9</v>
      </c>
      <c r="AO20" s="96">
        <f>SUM(E20:AI20)</f>
        <v>0</v>
      </c>
      <c r="AP20" s="93">
        <f>(DAY(EOMONTH(E10, 0)) - AN20 - AK20) * AU20  * D20</f>
        <v>0</v>
      </c>
      <c r="AQ20" s="94">
        <f t="shared" si="6"/>
        <v>0</v>
      </c>
      <c r="AR20" s="101" t="e">
        <f t="shared" si="3"/>
        <v>#DIV/0!</v>
      </c>
      <c r="AU20" s="29">
        <f>IF(C20="вихователь", 6, IF(C20="каштелян", 8, IF(C20="буфетниця", 8, IF(C20="молодша м/с", 8, IF(C20="сестр. госп.", 8, 7.7)))))</f>
        <v>7.7</v>
      </c>
      <c r="BA20" s="18">
        <f>A20</f>
        <v>10</v>
      </c>
      <c r="BB20" s="102">
        <f>B20</f>
        <v>0</v>
      </c>
      <c r="BC20" s="103">
        <f>C20</f>
        <v>0</v>
      </c>
      <c r="BD20" s="104" t="str">
        <f>IF(ISNUMBER(E20), IF(IsBold(E20), TIME(0,0,0), TIME(8,0,0)), "")</f>
        <v/>
      </c>
      <c r="BE20" s="105" t="str">
        <f>IF(BD20=TIME(0,0,0), BD20 + (E20/24),
 IF(AND(E20&gt;6, E20&lt;10, BD20&gt;=TIME(8,0,0), BD20&lt;TIME(21,0,0)), BD20 + ((E20+0.5)/24),
 IF(AND(E20&gt;10, E20&lt;16.1, BD20&gt;=TIME(7,59,0), BD20&lt;TIME(16,0,0)), BD20 + (E20/24), "")))</f>
        <v/>
      </c>
      <c r="BF20" s="105" t="str">
        <f>IF(ISNUMBER(F20), IF(IsBold(F20), TIME(0,0,0), TIME(8,0,0)), "")</f>
        <v/>
      </c>
      <c r="BG20" s="105" t="str">
        <f>IF(BF20=TIME(0,0,0), BF20 + (F20/24),
 IF(AND(F20&gt;6, F20&lt;10, BF20&gt;=TIME(8,0,0), BF20&lt;TIME(21,0,0)), BF20 + ((F20+0.5)/24),
 IF(AND(F20&gt;10, F20&lt;16.1, BF20&gt;=TIME(7,59,0), BF20&lt;TIME(16,0,0)), BF20 + (F20/24), "")))</f>
        <v/>
      </c>
      <c r="BH20" s="105" t="str">
        <f>IF(ISNUMBER(G20), IF(IsBold(G20), TIME(0,0,0), TIME(8,0,0)), "")</f>
        <v/>
      </c>
      <c r="BI20" s="105" t="str">
        <f>IF(BH20=TIME(0,0,0), BH20 + (G20/24),
 IF(AND(G20&gt;6, G20&lt;10, BH20&gt;=TIME(8,0,0), BH20&lt;TIME(21,0,0)), BH20 + ((G20+0.5)/24),
 IF(AND(G20&gt;10, G20&lt;16.1, BH20&gt;=TIME(7,59,0), BH20&lt;TIME(16,0,0)), BH20 + (G20/24), "")))</f>
        <v/>
      </c>
      <c r="BJ20" s="105" t="str">
        <f>IF(ISNUMBER(H20), IF(IsBold(H20), TIME(0,0,0), TIME(8,0,0)), "")</f>
        <v/>
      </c>
      <c r="BK20" s="105" t="str">
        <f>IF(BJ20=TIME(0,0,0), BJ20 + (H20/24),
 IF(AND(H20&gt;6, H20&lt;10, BJ20&gt;=TIME(8,0,0), BJ20&lt;TIME(21,0,0)), BJ20 + ((H20+0.5)/24),
 IF(AND(H20&gt;10, H20&lt;16.1, BJ20&gt;=TIME(7,59,0), BJ20&lt;TIME(16,0,0)), BJ20 + (H20/24), "")))</f>
        <v/>
      </c>
      <c r="BL20" s="105" t="str">
        <f>IF(ISNUMBER(I20), IF(IsBold(I20), TIME(0,0,0), TIME(8,0,0)), "")</f>
        <v/>
      </c>
      <c r="BM20" s="105" t="str">
        <f>IF(BL20=TIME(0,0,0), BL20 + (I20/24),
 IF(AND(I20&gt;6, I20&lt;10, BL20&gt;=TIME(8,0,0), BL20&lt;TIME(21,0,0)), BL20 + ((I20+0.5)/24),
 IF(AND(I20&gt;10, I20&lt;16.1, BL20&gt;=TIME(7,59,0), BL20&lt;TIME(16,0,0)), BL20 + (I20/24), "")))</f>
        <v/>
      </c>
      <c r="BN20" s="105" t="str">
        <f>IF(ISNUMBER(J20), IF(IsBold(J20), TIME(0,0,0), TIME(8,0,0)), "")</f>
        <v/>
      </c>
      <c r="BO20" s="105" t="str">
        <f>IF(BN20=TIME(0,0,0), BN20 + (J20/24),
 IF(AND(J20&gt;6, J20&lt;10, BN20&gt;=TIME(8,0,0), BN20&lt;TIME(21,0,0)), BN20 + ((J20+0.5)/24),
 IF(AND(J20&gt;10, J20&lt;16.1, BN20&gt;=TIME(7,59,0), BN20&lt;TIME(16,0,0)), BN20 + (J20/24), "")))</f>
        <v/>
      </c>
      <c r="BP20" s="105" t="str">
        <f>IF(ISNUMBER(K20), IF(IsBold(K20), TIME(0,0,0), TIME(8,0,0)), "")</f>
        <v/>
      </c>
      <c r="BQ20" s="105" t="str">
        <f>IF(BP20=TIME(0,0,0), BP20 + (K20/24),
 IF(AND(K20&gt;6, K20&lt;10, BP20&gt;=TIME(8,0,0), BP20&lt;TIME(21,0,0)), BP20 + ((K20+0.5)/24),
 IF(AND(K20&gt;10, K20&lt;16.1, BP20&gt;=TIME(7,59,0), BP20&lt;TIME(16,0,0)), BP20 + (K20/24), "")))</f>
        <v/>
      </c>
      <c r="BR20" s="106" t="str">
        <f>IF(ISNUMBER(L20), IF(IsBold(L20), TIME(0,0,0), TIME(8,0,0)), "")</f>
        <v/>
      </c>
      <c r="BS20" s="105" t="str">
        <f>IF(BR20=TIME(0,0,0), BR20 + (L20/24),
 IF(AND(L20&gt;6, L20&lt;10, BR20&gt;=TIME(8,0,0), BR20&lt;TIME(21,0,0)), BR20 + ((L20+0.5)/24),
 IF(AND(L20&gt;10, L20&lt;16.1, BR20&gt;=TIME(7,59,0), BR20&lt;TIME(16,0,0)), BR20 + (L20/24), "")))</f>
        <v/>
      </c>
      <c r="BT20" s="106" t="str">
        <f>IF(ISNUMBER(M20), IF(IsBold(M20), TIME(0,0,0), TIME(8,0,0)), "")</f>
        <v/>
      </c>
      <c r="BU20" s="105" t="str">
        <f>IF(BT20=TIME(0,0,0), BT20 + (M20/24),
 IF(AND(M20&gt;6, M20&lt;10, BT20&gt;=TIME(8,0,0), BT20&lt;TIME(21,0,0)), BT20 + ((M20+0.5)/24),
 IF(AND(M20&gt;10, M20&lt;16.1, BT20&gt;=TIME(7,59,0), BT20&lt;TIME(16,0,0)), BT20 + (M20/24), "")))</f>
        <v/>
      </c>
      <c r="BV20" s="105" t="str">
        <f>IF(ISNUMBER(N20), IF(IsBold(N20), TIME(0,0,0), TIME(8,0,0)), "")</f>
        <v/>
      </c>
      <c r="BW20" s="105" t="str">
        <f>IF(BV20=TIME(0,0,0), BV20 + (N20/24),
 IF(AND(N20&gt;6, N20&lt;10, BV20&gt;=TIME(8,0,0), BV20&lt;TIME(21,0,0)), BV20 + ((N20+0.5)/24),
 IF(AND(N20&gt;10, N20&lt;16.1, BV20&gt;=TIME(7,59,0), BV20&lt;TIME(16,0,0)), BV20 + (N20/24), "")))</f>
        <v/>
      </c>
      <c r="BX20" s="105" t="str">
        <f>IF(ISNUMBER(O20), IF(IsBold(O20), TIME(0,0,0), TIME(8,0,0)), "")</f>
        <v/>
      </c>
      <c r="BY20" s="105" t="str">
        <f>IF(BX20=TIME(0,0,0), BX20 + (O20/24),
 IF(AND(O20&gt;6, O20&lt;10, BX20&gt;=TIME(8,0,0), BX20&lt;TIME(21,0,0)), BX20 + ((O20+0.5)/24),
 IF(AND(O20&gt;10, O20&lt;16.1, BX20&gt;=TIME(7,59,0), BX20&lt;TIME(16,0,0)), BX20 + (O20/24), "")))</f>
        <v/>
      </c>
      <c r="BZ20" s="105" t="str">
        <f>IF(ISNUMBER(P20), IF(IsBold(P20), TIME(0,0,0), TIME(8,0,0)), "")</f>
        <v/>
      </c>
      <c r="CA20" s="105" t="str">
        <f>IF(BZ20=TIME(0,0,0), BZ20 + (P20/24),
 IF(AND(P20&gt;6, P20&lt;10, BZ20&gt;=TIME(8,0,0), BZ20&lt;TIME(21,0,0)), BZ20 + ((P20+0.5)/24),
 IF(AND(P20&gt;10, P20&lt;16.1, BZ20&gt;=TIME(7,59,0), BZ20&lt;TIME(16,0,0)), BZ20 + (P20/24), "")))</f>
        <v/>
      </c>
      <c r="CB20" s="105" t="str">
        <f>IF(ISNUMBER(Q20), IF(IsBold(Q20), TIME(0,0,0), TIME(8,0,0)), "")</f>
        <v/>
      </c>
      <c r="CC20" s="105" t="str">
        <f>IF(CB20=TIME(0,0,0), CB20 + (Q20/24),
 IF(AND(Q20&gt;6, Q20&lt;10, CB20&gt;=TIME(8,0,0), CB20&lt;TIME(21,0,0)), CB20 + ((Q20+0.5)/24),
 IF(AND(Q20&gt;10, Q20&lt;16.1, CB20&gt;=TIME(7,59,0), CB20&lt;TIME(16,0,0)), CB20 + (Q20/24), "")))</f>
        <v/>
      </c>
      <c r="CD20" s="105" t="str">
        <f>IF(ISNUMBER(R20), IF(IsBold(R20), TIME(0,0,0), TIME(8,0,0)), "")</f>
        <v/>
      </c>
      <c r="CE20" s="105" t="str">
        <f>IF(CD20=TIME(0,0,0), CD20 + (R20/24),
 IF(AND(R20&gt;6, R20&lt;10, CD20&gt;=TIME(8,0,0), CD20&lt;TIME(21,0,0)), CD20 + ((R20+0.5)/24),
 IF(AND(R20&gt;10, R20&lt;16.1, CD20&gt;=TIME(7,59,0), CD20&lt;TIME(16,0,0)), CD20 + (R20/24), "")))</f>
        <v/>
      </c>
      <c r="CF20" s="105" t="str">
        <f>IF(ISNUMBER(S20), IF(IsBold(S20), TIME(0,0,0), TIME(8,0,0)), "")</f>
        <v/>
      </c>
      <c r="CG20" s="105" t="str">
        <f>IF(CF20=TIME(0,0,0), CF20 + (S20/24),
 IF(AND(S20&gt;6, S20&lt;10, CF20&gt;=TIME(8,0,0), CF20&lt;TIME(21,0,0)), CF20 + ((S20+0.5)/24),
 IF(AND(S20&gt;10, S20&lt;16.1, CF20&gt;=TIME(7,59,0), CF20&lt;TIME(16,0,0)), CF20 + (S20/24), "")))</f>
        <v/>
      </c>
      <c r="CM20" s="18">
        <f>A20</f>
        <v>10</v>
      </c>
      <c r="CN20" s="107">
        <f>B20</f>
        <v>0</v>
      </c>
      <c r="CO20" s="103">
        <f>C20</f>
        <v>0</v>
      </c>
      <c r="CP20" s="104" t="str">
        <f>IF(ISNUMBER(T20), IF(IsBold(T20), TIME(0,0,0), TIME(8,0,0)), "")</f>
        <v/>
      </c>
      <c r="CQ20" s="105" t="str">
        <f>IF(CP20=TIME(0,0,0), CP20 + (T20/24),
 IF(AND(T20&gt;6, T20&lt;10, CP20&gt;=TIME(8,0,0), CP20&lt;TIME(21,0,0)), CP20 + ((T20+0.5)/24),
 IF(AND(T20&gt;10, T20&lt;16.1, CP20&gt;=TIME(7,59,0), CP20&lt;TIME(16,0,0)), CP20 + (T20/24), "")))</f>
        <v/>
      </c>
      <c r="CR20" s="104" t="str">
        <f>IF(ISNUMBER(U20), IF(IsBold(U20), TIME(0,0,0), TIME(8,0,0)), "")</f>
        <v/>
      </c>
      <c r="CS20" s="105" t="str">
        <f>IF(CR20=TIME(0,0,0), CR20 + (U20/24),
 IF(AND(U20&gt;6, U20&lt;10, CR20&gt;=TIME(8,0,0), CR20&lt;TIME(21,0,0)), CR20 + ((U20+0.5)/24),
 IF(AND(U20&gt;10, U20&lt;16.1, CR20&gt;=TIME(7,59,0), CR20&lt;TIME(16,0,0)), CR20 + (U20/24), "")))</f>
        <v/>
      </c>
      <c r="CT20" s="105" t="str">
        <f>IF(ISNUMBER(V20), IF(IsBold(V20), TIME(0,0,0), TIME(8,0,0)), "")</f>
        <v/>
      </c>
      <c r="CU20" s="105" t="str">
        <f>IF(CT20=TIME(0,0,0), CT20 + (V20/24),
 IF(AND(V20&gt;6, V20&lt;10, CT20&gt;=TIME(8,0,0), CT20&lt;TIME(21,0,0)), CT20 + ((V20+0.5)/24),
 IF(AND(V20&gt;10, V20&lt;16.1, CT20&gt;=TIME(7,59,0), CT20&lt;TIME(16,0,0)), CT20 + (V20/24), "")))</f>
        <v/>
      </c>
      <c r="CV20" s="105" t="str">
        <f>IF(ISNUMBER(W20), IF(IsBold(W20), TIME(0,0,0), TIME(8,0,0)), "")</f>
        <v/>
      </c>
      <c r="CW20" s="105" t="str">
        <f>IF(CV20=TIME(0,0,0), CV20 + (W20/24),
 IF(AND(W20&gt;6, W20&lt;10, CV20&gt;=TIME(8,0,0), CV20&lt;TIME(21,0,0)), CV20 + ((W20+0.5)/24),
 IF(AND(W20&gt;10, W20&lt;16.1, CV20&gt;=TIME(7,59,0), CV20&lt;TIME(16,0,0)), CV20 + (W20/24), "")))</f>
        <v/>
      </c>
      <c r="CX20" s="105" t="str">
        <f>IF(ISNUMBER(X20), IF(IsBold(X20), TIME(0,0,0), TIME(8,0,0)), "")</f>
        <v/>
      </c>
      <c r="CY20" s="105" t="str">
        <f>IF(CX20=TIME(0,0,0), CX20 + (X20/24),
 IF(AND(X20&gt;6, X20&lt;10, CX20&gt;=TIME(8,0,0), CX20&lt;TIME(21,0,0)), CX20 + ((X20+0.5)/24),
 IF(AND(X20&gt;10, X20&lt;16.1, CX20&gt;=TIME(7,59,0), CX20&lt;TIME(16,0,0)), CX20 + (X20/24), "")))</f>
        <v/>
      </c>
      <c r="CZ20" s="105" t="str">
        <f>IF(ISNUMBER(Y20), IF(IsBold(Y20), TIME(0,0,0), TIME(8,0,0)), "")</f>
        <v/>
      </c>
      <c r="DA20" s="105" t="str">
        <f>IF(CZ20=TIME(0,0,0), CZ20 + (Y20/24),
 IF(AND(Y20&gt;6, Y20&lt;10, CZ20&gt;=TIME(8,0,0), CZ20&lt;TIME(21,0,0)), CZ20 + ((Y20+0.5)/24),
 IF(AND(Y20&gt;10, Y20&lt;16.1, CZ20&gt;=TIME(7,59,0), CZ20&lt;TIME(16,0,0)), CZ20 + (Y20/24), "")))</f>
        <v/>
      </c>
      <c r="DB20" s="105" t="str">
        <f>IF(ISNUMBER(Z20), IF(IsBold(Z20), TIME(0,0,0), TIME(8,0,0)), "")</f>
        <v/>
      </c>
      <c r="DC20" s="105" t="str">
        <f>IF(DB20=TIME(0,0,0), DB20 + (Z20/24),
 IF(AND(Z20&gt;6, Z20&lt;10, DB20&gt;=TIME(8,0,0), DB20&lt;TIME(21,0,0)), DB20 + ((Z20+0.5)/24),
 IF(AND(Z20&gt;10, Z20&lt;16.1, DB20&gt;=TIME(7,59,0), DB20&lt;TIME(16,0,0)), DB20 + (Z20/24), "")))</f>
        <v/>
      </c>
      <c r="DD20" s="106" t="str">
        <f>IF(ISNUMBER(AA20), IF(IsBold(AA20), TIME(0,0,0), TIME(8,0,0)), "")</f>
        <v/>
      </c>
      <c r="DE20" s="105" t="str">
        <f>IF(DD20=TIME(0,0,0), DD20 + (AA20/24),
 IF(AND(AA20&gt;6, AA20&lt;10, DD20&gt;=TIME(8,0,0), DD20&lt;TIME(21,0,0)), DD20 + ((AA20+0.5)/24),
 IF(AND(AA20&gt;10, AA20&lt;16.1, DD20&gt;=TIME(7,59,0), DD20&lt;TIME(16,0,0)), DD20 + (AA20/24), "")))</f>
        <v/>
      </c>
      <c r="DF20" s="106" t="str">
        <f>IF(ISNUMBER(AB20), IF(IsBold(AB20), TIME(0,0,0), TIME(8,0,0)), "")</f>
        <v/>
      </c>
      <c r="DG20" s="105" t="str">
        <f>IF(DF20=TIME(0,0,0), DF20 + (AB20/24),
 IF(AND(AB20&gt;6, AB20&lt;10, DF20&gt;=TIME(8,0,0), DF20&lt;TIME(21,0,0)), DF20 + ((AB20+0.5)/24),
 IF(AND(AB20&gt;10, AB20&lt;16.1, DF20&gt;=TIME(7,59,0), DF20&lt;TIME(16,0,0)), DF20 + (AB20/24), "")))</f>
        <v/>
      </c>
      <c r="DH20" s="105" t="str">
        <f>IF(ISNUMBER(AC20), IF(IsBold(AC20), TIME(0,0,0), TIME(8,0,0)), "")</f>
        <v/>
      </c>
      <c r="DI20" s="105" t="str">
        <f>IF(DH20=TIME(0,0,0), DH20 + (AC20/24),
 IF(AND(AC20&gt;6, AC20&lt;10, DH20&gt;=TIME(8,0,0), DH20&lt;TIME(21,0,0)), DH20 + ((AC20+0.5)/24),
 IF(AND(AC20&gt;10, AC20&lt;16.1, DH20&gt;=TIME(7,59,0), DH20&lt;TIME(16,0,0)), DH20 + (AC20/24), "")))</f>
        <v/>
      </c>
      <c r="DJ20" s="105" t="str">
        <f>IF(ISNUMBER(AD20), IF(IsBold(AD20), TIME(0,0,0), TIME(8,0,0)), "")</f>
        <v/>
      </c>
      <c r="DK20" s="105" t="str">
        <f>IF(DJ20=TIME(0,0,0), DJ20 + (AD20/24),
 IF(AND(AD20&gt;6, AD20&lt;10, DJ20&gt;=TIME(8,0,0), DJ20&lt;TIME(21,0,0)), DJ20 + ((AD20+0.5)/24),
 IF(AND(AD20&gt;10, AD20&lt;16.1, DJ20&gt;=TIME(7,59,0), DJ20&lt;TIME(16,0,0)), DJ20 + (AD20/24), "")))</f>
        <v/>
      </c>
      <c r="DL20" s="105" t="str">
        <f>IF(ISNUMBER(AE20), IF(IsBold(AE20), TIME(0,0,0), TIME(8,0,0)), "")</f>
        <v/>
      </c>
      <c r="DM20" s="105" t="str">
        <f>IF(DL20=TIME(0,0,0), DL20 + (AE20/24),
 IF(AND(AE20&gt;6, AE20&lt;10, DL20&gt;=TIME(8,0,0), DL20&lt;TIME(21,0,0)), DL20 + ((AE20+0.5)/24),
 IF(AND(AE20&gt;10, AE20&lt;16.1, DL20&gt;=TIME(7,59,0), DL20&lt;TIME(16,0,0)), DL20 + (AE20/24), "")))</f>
        <v/>
      </c>
      <c r="DN20" s="105" t="str">
        <f>IF(ISNUMBER(AF20), IF(IsBold(AF20), TIME(0,0,0), TIME(8,0,0)), "")</f>
        <v/>
      </c>
      <c r="DO20" s="105" t="str">
        <f>IF(DN20=TIME(0,0,0), DN20 + (AF20/24),
 IF(AND(AF20&gt;6, AF20&lt;10, DN20&gt;=TIME(8,0,0), DN20&lt;TIME(21,0,0)), DN20 + ((AF20+0.5)/24),
 IF(AND(AF20&gt;10, AF20&lt;16.1, DN20&gt;=TIME(7,59,0), DN20&lt;TIME(16,0,0)), DN20 + (AF20/24), "")))</f>
        <v/>
      </c>
      <c r="DP20" s="105" t="str">
        <f>IF(ISNUMBER(AG20), IF(IsBold(AG20), TIME(0,0,0), TIME(8,0,0)), "")</f>
        <v/>
      </c>
      <c r="DQ20" s="105" t="str">
        <f>IF(DP20=TIME(0,0,0), DP20 + (AG20/24),
 IF(AND(AG20&gt;6, AG20&lt;10, DP20&gt;=TIME(8,0,0), DP20&lt;TIME(21,0,0)), DP20 + ((AG20+0.5)/24),
 IF(AND(AG20&gt;10, AG20&lt;16.1, DP20&gt;=TIME(7,59,0), DP20&lt;TIME(16,0,0)), DP20 + (AG20/24), "")))</f>
        <v/>
      </c>
      <c r="DR20" s="105" t="str">
        <f>IF(ISNUMBER(AH20), IF(IsBold(AH20), TIME(0,0,0), TIME(8,0,0)), "")</f>
        <v/>
      </c>
      <c r="DS20" s="105" t="str">
        <f>IF(DR20=TIME(0,0,0), DR20 + (AH20/24),
 IF(AND(AH20&gt;6, AH20&lt;10, DR20&gt;=TIME(8,0,0), DR20&lt;TIME(21,0,0)), DR20 + ((AH20+0.5)/24),
 IF(AND(AH20&gt;10, AH20&lt;16.1, DR20&gt;=TIME(7,59,0), DR20&lt;TIME(16,0,0)), DR20 + (AH20/24), "")))</f>
        <v/>
      </c>
      <c r="DT20" s="105" t="str">
        <f>IF(ISNUMBER(AI20), IF(IsBold(AI20), TIME(0,0,0), TIME(8,0,0)), "")</f>
        <v/>
      </c>
      <c r="DU20" s="105" t="str">
        <f>IF(DT20=TIME(0,0,0), DT20 + (AI20/24),
 IF(AND(AI20&gt;6, AI20&lt;10, DT20&gt;=TIME(8,0,0), DT20&lt;TIME(21,0,0)), DT20 + ((AI20+0.5)/24),
 IF(AND(AI20&gt;10, AI20&lt;16.1, DT20&gt;=TIME(7,59,0), DT20&lt;TIME(16,0,0)), DT20 + (AI20/24), "")))</f>
        <v/>
      </c>
      <c r="DV20" s="110">
        <f t="shared" si="2"/>
        <v>0</v>
      </c>
    </row>
    <row r="21" spans="1:126" ht="15" thickBot="1" x14ac:dyDescent="0.35">
      <c r="A21" s="12">
        <v>11</v>
      </c>
      <c r="B21" s="88"/>
      <c r="C21" s="77"/>
      <c r="D21" s="78"/>
      <c r="E21" s="74"/>
      <c r="F21" s="82"/>
      <c r="G21" s="83"/>
      <c r="H21" s="84"/>
      <c r="I21" s="82"/>
      <c r="J21" s="82"/>
      <c r="K21" s="83"/>
      <c r="L21" s="84"/>
      <c r="M21" s="82"/>
      <c r="N21" s="82"/>
      <c r="O21" s="83"/>
      <c r="P21" s="84"/>
      <c r="Q21" s="82"/>
      <c r="R21" s="82"/>
      <c r="S21" s="83"/>
      <c r="T21" s="84"/>
      <c r="U21" s="82"/>
      <c r="V21" s="82"/>
      <c r="W21" s="83"/>
      <c r="X21" s="84"/>
      <c r="Y21" s="82"/>
      <c r="Z21" s="82"/>
      <c r="AA21" s="83"/>
      <c r="AB21" s="84"/>
      <c r="AC21" s="82"/>
      <c r="AD21" s="82"/>
      <c r="AE21" s="83"/>
      <c r="AF21" s="84"/>
      <c r="AG21" s="74"/>
      <c r="AH21" s="74"/>
      <c r="AI21" s="74"/>
      <c r="AJ21" s="90">
        <f>COUNTIFS(E21:AI21,"&gt;0", E21:AI21,"&lt;&gt;"&amp;"")</f>
        <v>0</v>
      </c>
      <c r="AK21" s="91">
        <f>COUNTIF(E21:AI21, "ВП")</f>
        <v>0</v>
      </c>
      <c r="AL21" s="95">
        <f>COUNTIF(E21:AI21, "ВД")</f>
        <v>0</v>
      </c>
      <c r="AM21" s="91">
        <f>SumBoldNumbers(E21:AI21)</f>
        <v>0</v>
      </c>
      <c r="AN21" s="91">
        <f>SUM(CountWeekendDays(E10)+COUNTIF(E21:AI21,"С"))</f>
        <v>9</v>
      </c>
      <c r="AO21" s="96">
        <f>SUM(E21:AI21)</f>
        <v>0</v>
      </c>
      <c r="AP21" s="93">
        <f>(DAY(EOMONTH(E10, 0)) - AN21 - AK21) * AU21  * D21</f>
        <v>0</v>
      </c>
      <c r="AQ21" s="94">
        <f t="shared" si="6"/>
        <v>0</v>
      </c>
      <c r="AR21" s="101" t="e">
        <f t="shared" si="3"/>
        <v>#DIV/0!</v>
      </c>
      <c r="AU21" s="29">
        <f>IF(C21="вихователь", 6, IF(C21="каштелян", 8, IF(C21="буфетниця", 8, IF(C21="молодша м/с", 8, IF(C21="сестр. госп.", 8, 7.7)))))</f>
        <v>7.7</v>
      </c>
      <c r="BA21" s="18">
        <f>A21</f>
        <v>11</v>
      </c>
      <c r="BB21" s="102">
        <f>B21</f>
        <v>0</v>
      </c>
      <c r="BC21" s="103">
        <f>C21</f>
        <v>0</v>
      </c>
      <c r="BD21" s="104" t="str">
        <f>IF(ISNUMBER(E21), IF(IsBold(E21), TIME(0,0,0), TIME(8,0,0)), "")</f>
        <v/>
      </c>
      <c r="BE21" s="105" t="str">
        <f>IF(BD21=TIME(0,0,0), BD21 + (E21/24),
 IF(AND(E21&gt;6, E21&lt;10, BD21&gt;=TIME(8,0,0), BD21&lt;TIME(21,0,0)), BD21 + ((E21+0.5)/24),
 IF(AND(E21&gt;10, E21&lt;16.1, BD21&gt;=TIME(7,59,0), BD21&lt;TIME(16,0,0)), BD21 + (E21/24), "")))</f>
        <v/>
      </c>
      <c r="BF21" s="105" t="str">
        <f>IF(ISNUMBER(F21), IF(IsBold(F21), TIME(0,0,0), TIME(8,0,0)), "")</f>
        <v/>
      </c>
      <c r="BG21" s="105" t="str">
        <f>IF(BF21=TIME(0,0,0), BF21 + (F21/24),
 IF(AND(F21&gt;6, F21&lt;10, BF21&gt;=TIME(8,0,0), BF21&lt;TIME(21,0,0)), BF21 + ((F21+0.5)/24),
 IF(AND(F21&gt;10, F21&lt;16.1, BF21&gt;=TIME(7,59,0), BF21&lt;TIME(16,0,0)), BF21 + (F21/24), "")))</f>
        <v/>
      </c>
      <c r="BH21" s="105" t="str">
        <f>IF(ISNUMBER(G21), IF(IsBold(G21), TIME(0,0,0), TIME(8,0,0)), "")</f>
        <v/>
      </c>
      <c r="BI21" s="105" t="str">
        <f>IF(BH21=TIME(0,0,0), BH21 + (G21/24),
 IF(AND(G21&gt;6, G21&lt;10, BH21&gt;=TIME(8,0,0), BH21&lt;TIME(21,0,0)), BH21 + ((G21+0.5)/24),
 IF(AND(G21&gt;10, G21&lt;16.1, BH21&gt;=TIME(7,59,0), BH21&lt;TIME(16,0,0)), BH21 + (G21/24), "")))</f>
        <v/>
      </c>
      <c r="BJ21" s="105" t="str">
        <f>IF(ISNUMBER(H21), IF(IsBold(H21), TIME(0,0,0), TIME(8,0,0)), "")</f>
        <v/>
      </c>
      <c r="BK21" s="105" t="str">
        <f>IF(BJ21=TIME(0,0,0), BJ21 + (H21/24),
 IF(AND(H21&gt;6, H21&lt;10, BJ21&gt;=TIME(8,0,0), BJ21&lt;TIME(21,0,0)), BJ21 + ((H21+0.5)/24),
 IF(AND(H21&gt;10, H21&lt;16.1, BJ21&gt;=TIME(7,59,0), BJ21&lt;TIME(16,0,0)), BJ21 + (H21/24), "")))</f>
        <v/>
      </c>
      <c r="BL21" s="105" t="str">
        <f>IF(ISNUMBER(I21), IF(IsBold(I21), TIME(0,0,0), TIME(8,0,0)), "")</f>
        <v/>
      </c>
      <c r="BM21" s="105" t="str">
        <f>IF(BL21=TIME(0,0,0), BL21 + (I21/24),
 IF(AND(I21&gt;6, I21&lt;10, BL21&gt;=TIME(8,0,0), BL21&lt;TIME(21,0,0)), BL21 + ((I21+0.5)/24),
 IF(AND(I21&gt;10, I21&lt;16.1, BL21&gt;=TIME(7,59,0), BL21&lt;TIME(16,0,0)), BL21 + (I21/24), "")))</f>
        <v/>
      </c>
      <c r="BN21" s="105" t="str">
        <f>IF(ISNUMBER(J21), IF(IsBold(J21), TIME(0,0,0), TIME(8,0,0)), "")</f>
        <v/>
      </c>
      <c r="BO21" s="105" t="str">
        <f>IF(BN21=TIME(0,0,0), BN21 + (J21/24),
 IF(AND(J21&gt;6, J21&lt;10, BN21&gt;=TIME(8,0,0), BN21&lt;TIME(21,0,0)), BN21 + ((J21+0.5)/24),
 IF(AND(J21&gt;10, J21&lt;16.1, BN21&gt;=TIME(7,59,0), BN21&lt;TIME(16,0,0)), BN21 + (J21/24), "")))</f>
        <v/>
      </c>
      <c r="BP21" s="105" t="str">
        <f>IF(ISNUMBER(K21), IF(IsBold(K21), TIME(0,0,0), TIME(8,0,0)), "")</f>
        <v/>
      </c>
      <c r="BQ21" s="105" t="str">
        <f>IF(BP21=TIME(0,0,0), BP21 + (K21/24),
 IF(AND(K21&gt;6, K21&lt;10, BP21&gt;=TIME(8,0,0), BP21&lt;TIME(21,0,0)), BP21 + ((K21+0.5)/24),
 IF(AND(K21&gt;10, K21&lt;16.1, BP21&gt;=TIME(7,59,0), BP21&lt;TIME(16,0,0)), BP21 + (K21/24), "")))</f>
        <v/>
      </c>
      <c r="BR21" s="106" t="str">
        <f>IF(ISNUMBER(L21), IF(IsBold(L21), TIME(0,0,0), TIME(8,0,0)), "")</f>
        <v/>
      </c>
      <c r="BS21" s="105" t="str">
        <f>IF(BR21=TIME(0,0,0), BR21 + (L21/24),
 IF(AND(L21&gt;6, L21&lt;10, BR21&gt;=TIME(8,0,0), BR21&lt;TIME(21,0,0)), BR21 + ((L21+0.5)/24),
 IF(AND(L21&gt;10, L21&lt;16.1, BR21&gt;=TIME(7,59,0), BR21&lt;TIME(16,0,0)), BR21 + (L21/24), "")))</f>
        <v/>
      </c>
      <c r="BT21" s="106" t="str">
        <f>IF(ISNUMBER(M21), IF(IsBold(M21), TIME(0,0,0), TIME(8,0,0)), "")</f>
        <v/>
      </c>
      <c r="BU21" s="105" t="str">
        <f>IF(BT21=TIME(0,0,0), BT21 + (M21/24),
 IF(AND(M21&gt;6, M21&lt;10, BT21&gt;=TIME(8,0,0), BT21&lt;TIME(21,0,0)), BT21 + ((M21+0.5)/24),
 IF(AND(M21&gt;10, M21&lt;16.1, BT21&gt;=TIME(7,59,0), BT21&lt;TIME(16,0,0)), BT21 + (M21/24), "")))</f>
        <v/>
      </c>
      <c r="BV21" s="105" t="str">
        <f>IF(ISNUMBER(N21), IF(IsBold(N21), TIME(0,0,0), TIME(8,0,0)), "")</f>
        <v/>
      </c>
      <c r="BW21" s="105" t="str">
        <f>IF(BV21=TIME(0,0,0), BV21 + (N21/24),
 IF(AND(N21&gt;6, N21&lt;10, BV21&gt;=TIME(8,0,0), BV21&lt;TIME(21,0,0)), BV21 + ((N21+0.5)/24),
 IF(AND(N21&gt;10, N21&lt;16.1, BV21&gt;=TIME(7,59,0), BV21&lt;TIME(16,0,0)), BV21 + (N21/24), "")))</f>
        <v/>
      </c>
      <c r="BX21" s="105" t="str">
        <f>IF(ISNUMBER(O21), IF(IsBold(O21), TIME(0,0,0), TIME(8,0,0)), "")</f>
        <v/>
      </c>
      <c r="BY21" s="105" t="str">
        <f>IF(BX21=TIME(0,0,0), BX21 + (O21/24),
 IF(AND(O21&gt;6, O21&lt;10, BX21&gt;=TIME(8,0,0), BX21&lt;TIME(21,0,0)), BX21 + ((O21+0.5)/24),
 IF(AND(O21&gt;10, O21&lt;16.1, BX21&gt;=TIME(7,59,0), BX21&lt;TIME(16,0,0)), BX21 + (O21/24), "")))</f>
        <v/>
      </c>
      <c r="BZ21" s="105" t="str">
        <f>IF(ISNUMBER(P21), IF(IsBold(P21), TIME(0,0,0), TIME(8,0,0)), "")</f>
        <v/>
      </c>
      <c r="CA21" s="105" t="str">
        <f>IF(BZ21=TIME(0,0,0), BZ21 + (P21/24),
 IF(AND(P21&gt;6, P21&lt;10, BZ21&gt;=TIME(8,0,0), BZ21&lt;TIME(21,0,0)), BZ21 + ((P21+0.5)/24),
 IF(AND(P21&gt;10, P21&lt;16.1, BZ21&gt;=TIME(7,59,0), BZ21&lt;TIME(16,0,0)), BZ21 + (P21/24), "")))</f>
        <v/>
      </c>
      <c r="CB21" s="105" t="str">
        <f>IF(ISNUMBER(Q21), IF(IsBold(Q21), TIME(0,0,0), TIME(8,0,0)), "")</f>
        <v/>
      </c>
      <c r="CC21" s="105" t="str">
        <f>IF(CB21=TIME(0,0,0), CB21 + (Q21/24),
 IF(AND(Q21&gt;6, Q21&lt;10, CB21&gt;=TIME(8,0,0), CB21&lt;TIME(21,0,0)), CB21 + ((Q21+0.5)/24),
 IF(AND(Q21&gt;10, Q21&lt;16.1, CB21&gt;=TIME(7,59,0), CB21&lt;TIME(16,0,0)), CB21 + (Q21/24), "")))</f>
        <v/>
      </c>
      <c r="CD21" s="105" t="str">
        <f>IF(ISNUMBER(R21), IF(IsBold(R21), TIME(0,0,0), TIME(8,0,0)), "")</f>
        <v/>
      </c>
      <c r="CE21" s="105" t="str">
        <f>IF(CD21=TIME(0,0,0), CD21 + (R21/24),
 IF(AND(R21&gt;6, R21&lt;10, CD21&gt;=TIME(8,0,0), CD21&lt;TIME(21,0,0)), CD21 + ((R21+0.5)/24),
 IF(AND(R21&gt;10, R21&lt;16.1, CD21&gt;=TIME(7,59,0), CD21&lt;TIME(16,0,0)), CD21 + (R21/24), "")))</f>
        <v/>
      </c>
      <c r="CF21" s="105" t="str">
        <f>IF(ISNUMBER(S21), IF(IsBold(S21), TIME(0,0,0), TIME(8,0,0)), "")</f>
        <v/>
      </c>
      <c r="CG21" s="105" t="str">
        <f>IF(CF21=TIME(0,0,0), CF21 + (S21/24),
 IF(AND(S21&gt;6, S21&lt;10, CF21&gt;=TIME(8,0,0), CF21&lt;TIME(21,0,0)), CF21 + ((S21+0.5)/24),
 IF(AND(S21&gt;10, S21&lt;16.1, CF21&gt;=TIME(7,59,0), CF21&lt;TIME(16,0,0)), CF21 + (S21/24), "")))</f>
        <v/>
      </c>
      <c r="CM21" s="18">
        <f>A21</f>
        <v>11</v>
      </c>
      <c r="CN21" s="107">
        <f>B21</f>
        <v>0</v>
      </c>
      <c r="CO21" s="103">
        <f>C21</f>
        <v>0</v>
      </c>
      <c r="CP21" s="104" t="str">
        <f>IF(ISNUMBER(T21), IF(IsBold(T21), TIME(0,0,0), TIME(8,0,0)), "")</f>
        <v/>
      </c>
      <c r="CQ21" s="105" t="str">
        <f>IF(CP21=TIME(0,0,0), CP21 + (T21/24),
 IF(AND(T21&gt;6, T21&lt;10, CP21&gt;=TIME(8,0,0), CP21&lt;TIME(21,0,0)), CP21 + ((T21+0.5)/24),
 IF(AND(T21&gt;10, T21&lt;16.1, CP21&gt;=TIME(7,59,0), CP21&lt;TIME(16,0,0)), CP21 + (T21/24), "")))</f>
        <v/>
      </c>
      <c r="CR21" s="104" t="str">
        <f>IF(ISNUMBER(U21), IF(IsBold(U21), TIME(0,0,0), TIME(8,0,0)), "")</f>
        <v/>
      </c>
      <c r="CS21" s="105" t="str">
        <f>IF(CR21=TIME(0,0,0), CR21 + (U21/24),
 IF(AND(U21&gt;6, U21&lt;10, CR21&gt;=TIME(8,0,0), CR21&lt;TIME(21,0,0)), CR21 + ((U21+0.5)/24),
 IF(AND(U21&gt;10, U21&lt;16.1, CR21&gt;=TIME(7,59,0), CR21&lt;TIME(16,0,0)), CR21 + (U21/24), "")))</f>
        <v/>
      </c>
      <c r="CT21" s="105" t="str">
        <f>IF(ISNUMBER(V21), IF(IsBold(V21), TIME(0,0,0), TIME(8,0,0)), "")</f>
        <v/>
      </c>
      <c r="CU21" s="105" t="str">
        <f>IF(CT21=TIME(0,0,0), CT21 + (V21/24),
 IF(AND(V21&gt;6, V21&lt;10, CT21&gt;=TIME(8,0,0), CT21&lt;TIME(21,0,0)), CT21 + ((V21+0.5)/24),
 IF(AND(V21&gt;10, V21&lt;16.1, CT21&gt;=TIME(7,59,0), CT21&lt;TIME(16,0,0)), CT21 + (V21/24), "")))</f>
        <v/>
      </c>
      <c r="CV21" s="105" t="str">
        <f>IF(ISNUMBER(W21), IF(IsBold(W21), TIME(0,0,0), TIME(8,0,0)), "")</f>
        <v/>
      </c>
      <c r="CW21" s="105" t="str">
        <f>IF(CV21=TIME(0,0,0), CV21 + (W21/24),
 IF(AND(W21&gt;6, W21&lt;10, CV21&gt;=TIME(8,0,0), CV21&lt;TIME(21,0,0)), CV21 + ((W21+0.5)/24),
 IF(AND(W21&gt;10, W21&lt;16.1, CV21&gt;=TIME(7,59,0), CV21&lt;TIME(16,0,0)), CV21 + (W21/24), "")))</f>
        <v/>
      </c>
      <c r="CX21" s="105" t="str">
        <f>IF(ISNUMBER(X21), IF(IsBold(X21), TIME(0,0,0), TIME(8,0,0)), "")</f>
        <v/>
      </c>
      <c r="CY21" s="105" t="str">
        <f>IF(CX21=TIME(0,0,0), CX21 + (X21/24),
 IF(AND(X21&gt;6, X21&lt;10, CX21&gt;=TIME(8,0,0), CX21&lt;TIME(21,0,0)), CX21 + ((X21+0.5)/24),
 IF(AND(X21&gt;10, X21&lt;16.1, CX21&gt;=TIME(7,59,0), CX21&lt;TIME(16,0,0)), CX21 + (X21/24), "")))</f>
        <v/>
      </c>
      <c r="CZ21" s="105" t="str">
        <f>IF(ISNUMBER(Y21), IF(IsBold(Y21), TIME(0,0,0), TIME(8,0,0)), "")</f>
        <v/>
      </c>
      <c r="DA21" s="105" t="str">
        <f>IF(CZ21=TIME(0,0,0), CZ21 + (Y21/24),
 IF(AND(Y21&gt;6, Y21&lt;10, CZ21&gt;=TIME(8,0,0), CZ21&lt;TIME(21,0,0)), CZ21 + ((Y21+0.5)/24),
 IF(AND(Y21&gt;10, Y21&lt;16.1, CZ21&gt;=TIME(7,59,0), CZ21&lt;TIME(16,0,0)), CZ21 + (Y21/24), "")))</f>
        <v/>
      </c>
      <c r="DB21" s="105" t="str">
        <f>IF(ISNUMBER(Z21), IF(IsBold(Z21), TIME(0,0,0), TIME(8,0,0)), "")</f>
        <v/>
      </c>
      <c r="DC21" s="105" t="str">
        <f>IF(DB21=TIME(0,0,0), DB21 + (Z21/24),
 IF(AND(Z21&gt;6, Z21&lt;10, DB21&gt;=TIME(8,0,0), DB21&lt;TIME(21,0,0)), DB21 + ((Z21+0.5)/24),
 IF(AND(Z21&gt;10, Z21&lt;16.1, DB21&gt;=TIME(7,59,0), DB21&lt;TIME(16,0,0)), DB21 + (Z21/24), "")))</f>
        <v/>
      </c>
      <c r="DD21" s="106" t="str">
        <f>IF(ISNUMBER(AA21), IF(IsBold(AA21), TIME(0,0,0), TIME(8,0,0)), "")</f>
        <v/>
      </c>
      <c r="DE21" s="105" t="str">
        <f>IF(DD21=TIME(0,0,0), DD21 + (AA21/24),
 IF(AND(AA21&gt;6, AA21&lt;10, DD21&gt;=TIME(8,0,0), DD21&lt;TIME(21,0,0)), DD21 + ((AA21+0.5)/24),
 IF(AND(AA21&gt;10, AA21&lt;16.1, DD21&gt;=TIME(7,59,0), DD21&lt;TIME(16,0,0)), DD21 + (AA21/24), "")))</f>
        <v/>
      </c>
      <c r="DF21" s="106" t="str">
        <f>IF(ISNUMBER(AB21), IF(IsBold(AB21), TIME(0,0,0), TIME(8,0,0)), "")</f>
        <v/>
      </c>
      <c r="DG21" s="105" t="str">
        <f>IF(DF21=TIME(0,0,0), DF21 + (AB21/24),
 IF(AND(AB21&gt;6, AB21&lt;10, DF21&gt;=TIME(8,0,0), DF21&lt;TIME(21,0,0)), DF21 + ((AB21+0.5)/24),
 IF(AND(AB21&gt;10, AB21&lt;16.1, DF21&gt;=TIME(7,59,0), DF21&lt;TIME(16,0,0)), DF21 + (AB21/24), "")))</f>
        <v/>
      </c>
      <c r="DH21" s="105" t="str">
        <f>IF(ISNUMBER(AC21), IF(IsBold(AC21), TIME(0,0,0), TIME(8,0,0)), "")</f>
        <v/>
      </c>
      <c r="DI21" s="105" t="str">
        <f>IF(DH21=TIME(0,0,0), DH21 + (AC21/24),
 IF(AND(AC21&gt;6, AC21&lt;10, DH21&gt;=TIME(8,0,0), DH21&lt;TIME(21,0,0)), DH21 + ((AC21+0.5)/24),
 IF(AND(AC21&gt;10, AC21&lt;16.1, DH21&gt;=TIME(7,59,0), DH21&lt;TIME(16,0,0)), DH21 + (AC21/24), "")))</f>
        <v/>
      </c>
      <c r="DJ21" s="105" t="str">
        <f>IF(ISNUMBER(AD21), IF(IsBold(AD21), TIME(0,0,0), TIME(8,0,0)), "")</f>
        <v/>
      </c>
      <c r="DK21" s="105" t="str">
        <f>IF(DJ21=TIME(0,0,0), DJ21 + (AD21/24),
 IF(AND(AD21&gt;6, AD21&lt;10, DJ21&gt;=TIME(8,0,0), DJ21&lt;TIME(21,0,0)), DJ21 + ((AD21+0.5)/24),
 IF(AND(AD21&gt;10, AD21&lt;16.1, DJ21&gt;=TIME(7,59,0), DJ21&lt;TIME(16,0,0)), DJ21 + (AD21/24), "")))</f>
        <v/>
      </c>
      <c r="DL21" s="105" t="str">
        <f>IF(ISNUMBER(AE21), IF(IsBold(AE21), TIME(0,0,0), TIME(8,0,0)), "")</f>
        <v/>
      </c>
      <c r="DM21" s="105" t="str">
        <f>IF(DL21=TIME(0,0,0), DL21 + (AE21/24),
 IF(AND(AE21&gt;6, AE21&lt;10, DL21&gt;=TIME(8,0,0), DL21&lt;TIME(21,0,0)), DL21 + ((AE21+0.5)/24),
 IF(AND(AE21&gt;10, AE21&lt;16.1, DL21&gt;=TIME(7,59,0), DL21&lt;TIME(16,0,0)), DL21 + (AE21/24), "")))</f>
        <v/>
      </c>
      <c r="DN21" s="105" t="str">
        <f>IF(ISNUMBER(AF21), IF(IsBold(AF21), TIME(0,0,0), TIME(8,0,0)), "")</f>
        <v/>
      </c>
      <c r="DO21" s="105" t="str">
        <f>IF(DN21=TIME(0,0,0), DN21 + (AF21/24),
 IF(AND(AF21&gt;6, AF21&lt;10, DN21&gt;=TIME(8,0,0), DN21&lt;TIME(21,0,0)), DN21 + ((AF21+0.5)/24),
 IF(AND(AF21&gt;10, AF21&lt;16.1, DN21&gt;=TIME(7,59,0), DN21&lt;TIME(16,0,0)), DN21 + (AF21/24), "")))</f>
        <v/>
      </c>
      <c r="DP21" s="105" t="str">
        <f>IF(ISNUMBER(AG21), IF(IsBold(AG21), TIME(0,0,0), TIME(8,0,0)), "")</f>
        <v/>
      </c>
      <c r="DQ21" s="105" t="str">
        <f>IF(DP21=TIME(0,0,0), DP21 + (AG21/24),
 IF(AND(AG21&gt;6, AG21&lt;10, DP21&gt;=TIME(8,0,0), DP21&lt;TIME(21,0,0)), DP21 + ((AG21+0.5)/24),
 IF(AND(AG21&gt;10, AG21&lt;16.1, DP21&gt;=TIME(7,59,0), DP21&lt;TIME(16,0,0)), DP21 + (AG21/24), "")))</f>
        <v/>
      </c>
      <c r="DR21" s="105" t="str">
        <f>IF(ISNUMBER(AH21), IF(IsBold(AH21), TIME(0,0,0), TIME(8,0,0)), "")</f>
        <v/>
      </c>
      <c r="DS21" s="105" t="str">
        <f>IF(DR21=TIME(0,0,0), DR21 + (AH21/24),
 IF(AND(AH21&gt;6, AH21&lt;10, DR21&gt;=TIME(8,0,0), DR21&lt;TIME(21,0,0)), DR21 + ((AH21+0.5)/24),
 IF(AND(AH21&gt;10, AH21&lt;16.1, DR21&gt;=TIME(7,59,0), DR21&lt;TIME(16,0,0)), DR21 + (AH21/24), "")))</f>
        <v/>
      </c>
      <c r="DT21" s="105" t="str">
        <f>IF(ISNUMBER(AI21), IF(IsBold(AI21), TIME(0,0,0), TIME(8,0,0)), "")</f>
        <v/>
      </c>
      <c r="DU21" s="105" t="str">
        <f>IF(DT21=TIME(0,0,0), DT21 + (AI21/24),
 IF(AND(AI21&gt;6, AI21&lt;10, DT21&gt;=TIME(8,0,0), DT21&lt;TIME(21,0,0)), DT21 + ((AI21+0.5)/24),
 IF(AND(AI21&gt;10, AI21&lt;16.1, DT21&gt;=TIME(7,59,0), DT21&lt;TIME(16,0,0)), DT21 + (AI21/24), "")))</f>
        <v/>
      </c>
      <c r="DV21" s="110">
        <f t="shared" si="2"/>
        <v>0</v>
      </c>
    </row>
    <row r="22" spans="1:126" ht="15" thickBot="1" x14ac:dyDescent="0.35">
      <c r="A22" s="12">
        <v>12</v>
      </c>
      <c r="B22" s="76"/>
      <c r="C22" s="77"/>
      <c r="D22" s="78"/>
      <c r="E22" s="74"/>
      <c r="F22" s="82"/>
      <c r="G22" s="83"/>
      <c r="H22" s="84"/>
      <c r="I22" s="82"/>
      <c r="J22" s="82"/>
      <c r="K22" s="83"/>
      <c r="L22" s="84"/>
      <c r="M22" s="82"/>
      <c r="N22" s="82"/>
      <c r="O22" s="83"/>
      <c r="P22" s="84"/>
      <c r="Q22" s="82"/>
      <c r="R22" s="82"/>
      <c r="S22" s="83"/>
      <c r="T22" s="84"/>
      <c r="U22" s="82"/>
      <c r="V22" s="82"/>
      <c r="W22" s="83"/>
      <c r="X22" s="84"/>
      <c r="Y22" s="82"/>
      <c r="Z22" s="82"/>
      <c r="AA22" s="83"/>
      <c r="AB22" s="84"/>
      <c r="AC22" s="82"/>
      <c r="AD22" s="82"/>
      <c r="AE22" s="83"/>
      <c r="AF22" s="84"/>
      <c r="AG22" s="74"/>
      <c r="AH22" s="74"/>
      <c r="AI22" s="74"/>
      <c r="AJ22" s="90">
        <f>COUNTIFS(E22:AI22,"&gt;0", E22:AI22,"&lt;&gt;"&amp;"")</f>
        <v>0</v>
      </c>
      <c r="AK22" s="91">
        <f>COUNTIF(E22:AI22, "ВП")</f>
        <v>0</v>
      </c>
      <c r="AL22" s="95">
        <f>COUNTIF(E22:AI22, "ВД")</f>
        <v>0</v>
      </c>
      <c r="AM22" s="91">
        <f>SumBoldNumbers(E22:AI22)</f>
        <v>0</v>
      </c>
      <c r="AN22" s="91">
        <f>SUM(CountWeekendDays(E10)+COUNTIF(E22:AI22,"С"))</f>
        <v>9</v>
      </c>
      <c r="AO22" s="96">
        <f>SUM(E22:AI22)</f>
        <v>0</v>
      </c>
      <c r="AP22" s="93">
        <f>(DAY(EOMONTH(E10, 0)) - AN22 - AK22) * AU22  * D22</f>
        <v>0</v>
      </c>
      <c r="AQ22" s="94">
        <f t="shared" si="6"/>
        <v>0</v>
      </c>
      <c r="AR22" s="101" t="e">
        <f t="shared" si="3"/>
        <v>#DIV/0!</v>
      </c>
      <c r="AU22" s="29">
        <f>IF(C22="вихователь", 6, IF(C22="каштелян", 8, IF(C22="буфетниця", 8, IF(C22="молодша м/с", 8, IF(C22="сестр. госп.", 8, 7.7)))))</f>
        <v>7.7</v>
      </c>
      <c r="BA22" s="18">
        <f>A22</f>
        <v>12</v>
      </c>
      <c r="BB22" s="102">
        <f>B22</f>
        <v>0</v>
      </c>
      <c r="BC22" s="103">
        <f>C22</f>
        <v>0</v>
      </c>
      <c r="BD22" s="104" t="str">
        <f>IF(ISNUMBER(E22), IF(IsBold(E22), TIME(0,0,0), TIME(8,0,0)), "")</f>
        <v/>
      </c>
      <c r="BE22" s="105" t="str">
        <f>IF(BD22=TIME(0,0,0), BD22 + (E22/24),
 IF(AND(E22&gt;6, E22&lt;10, BD22&gt;=TIME(8,0,0), BD22&lt;TIME(21,0,0)), BD22 + ((E22+0.5)/24),
 IF(AND(E22&gt;10, E22&lt;16.1, BD22&gt;=TIME(7,59,0), BD22&lt;TIME(16,0,0)), BD22 + (E22/24), "")))</f>
        <v/>
      </c>
      <c r="BF22" s="105" t="str">
        <f>IF(ISNUMBER(F22), IF(IsBold(F22), TIME(0,0,0), TIME(8,0,0)), "")</f>
        <v/>
      </c>
      <c r="BG22" s="105" t="str">
        <f>IF(BF22=TIME(0,0,0), BF22 + (F22/24),
 IF(AND(F22&gt;6, F22&lt;10, BF22&gt;=TIME(8,0,0), BF22&lt;TIME(21,0,0)), BF22 + ((F22+0.5)/24),
 IF(AND(F22&gt;10, F22&lt;16.1, BF22&gt;=TIME(7,59,0), BF22&lt;TIME(16,0,0)), BF22 + (F22/24), "")))</f>
        <v/>
      </c>
      <c r="BH22" s="105" t="str">
        <f>IF(ISNUMBER(G22), IF(IsBold(G22), TIME(0,0,0), TIME(8,0,0)), "")</f>
        <v/>
      </c>
      <c r="BI22" s="105" t="str">
        <f>IF(BH22=TIME(0,0,0), BH22 + (G22/24),
 IF(AND(G22&gt;6, G22&lt;10, BH22&gt;=TIME(8,0,0), BH22&lt;TIME(21,0,0)), BH22 + ((G22+0.5)/24),
 IF(AND(G22&gt;10, G22&lt;16.1, BH22&gt;=TIME(7,59,0), BH22&lt;TIME(16,0,0)), BH22 + (G22/24), "")))</f>
        <v/>
      </c>
      <c r="BJ22" s="105" t="str">
        <f>IF(ISNUMBER(H22), IF(IsBold(H22), TIME(0,0,0), TIME(8,0,0)), "")</f>
        <v/>
      </c>
      <c r="BK22" s="105" t="str">
        <f>IF(BJ22=TIME(0,0,0), BJ22 + (H22/24),
 IF(AND(H22&gt;6, H22&lt;10, BJ22&gt;=TIME(8,0,0), BJ22&lt;TIME(21,0,0)), BJ22 + ((H22+0.5)/24),
 IF(AND(H22&gt;10, H22&lt;16.1, BJ22&gt;=TIME(7,59,0), BJ22&lt;TIME(16,0,0)), BJ22 + (H22/24), "")))</f>
        <v/>
      </c>
      <c r="BL22" s="105" t="str">
        <f>IF(ISNUMBER(I22), IF(IsBold(I22), TIME(0,0,0), TIME(8,0,0)), "")</f>
        <v/>
      </c>
      <c r="BM22" s="105" t="str">
        <f>IF(BL22=TIME(0,0,0), BL22 + (I22/24),
 IF(AND(I22&gt;6, I22&lt;10, BL22&gt;=TIME(8,0,0), BL22&lt;TIME(21,0,0)), BL22 + ((I22+0.5)/24),
 IF(AND(I22&gt;10, I22&lt;16.1, BL22&gt;=TIME(7,59,0), BL22&lt;TIME(16,0,0)), BL22 + (I22/24), "")))</f>
        <v/>
      </c>
      <c r="BN22" s="105" t="str">
        <f>IF(ISNUMBER(J22), IF(IsBold(J22), TIME(0,0,0), TIME(8,0,0)), "")</f>
        <v/>
      </c>
      <c r="BO22" s="105" t="str">
        <f>IF(BN22=TIME(0,0,0), BN22 + (J22/24),
 IF(AND(J22&gt;6, J22&lt;10, BN22&gt;=TIME(8,0,0), BN22&lt;TIME(21,0,0)), BN22 + ((J22+0.5)/24),
 IF(AND(J22&gt;10, J22&lt;16.1, BN22&gt;=TIME(7,59,0), BN22&lt;TIME(16,0,0)), BN22 + (J22/24), "")))</f>
        <v/>
      </c>
      <c r="BP22" s="105" t="str">
        <f>IF(ISNUMBER(K22), IF(IsBold(K22), TIME(0,0,0), TIME(8,0,0)), "")</f>
        <v/>
      </c>
      <c r="BQ22" s="105" t="str">
        <f>IF(BP22=TIME(0,0,0), BP22 + (K22/24),
 IF(AND(K22&gt;6, K22&lt;10, BP22&gt;=TIME(8,0,0), BP22&lt;TIME(21,0,0)), BP22 + ((K22+0.5)/24),
 IF(AND(K22&gt;10, K22&lt;16.1, BP22&gt;=TIME(7,59,0), BP22&lt;TIME(16,0,0)), BP22 + (K22/24), "")))</f>
        <v/>
      </c>
      <c r="BR22" s="106" t="str">
        <f>IF(ISNUMBER(L22), IF(IsBold(L22), TIME(0,0,0), TIME(8,0,0)), "")</f>
        <v/>
      </c>
      <c r="BS22" s="105" t="str">
        <f>IF(BR22=TIME(0,0,0), BR22 + (L22/24),
 IF(AND(L22&gt;6, L22&lt;10, BR22&gt;=TIME(8,0,0), BR22&lt;TIME(21,0,0)), BR22 + ((L22+0.5)/24),
 IF(AND(L22&gt;10, L22&lt;16.1, BR22&gt;=TIME(7,59,0), BR22&lt;TIME(16,0,0)), BR22 + (L22/24), "")))</f>
        <v/>
      </c>
      <c r="BT22" s="106" t="str">
        <f>IF(ISNUMBER(M22), IF(IsBold(M22), TIME(0,0,0), TIME(8,0,0)), "")</f>
        <v/>
      </c>
      <c r="BU22" s="105" t="str">
        <f>IF(BT22=TIME(0,0,0), BT22 + (M22/24),
 IF(AND(M22&gt;6, M22&lt;10, BT22&gt;=TIME(8,0,0), BT22&lt;TIME(21,0,0)), BT22 + ((M22+0.5)/24),
 IF(AND(M22&gt;10, M22&lt;16.1, BT22&gt;=TIME(7,59,0), BT22&lt;TIME(16,0,0)), BT22 + (M22/24), "")))</f>
        <v/>
      </c>
      <c r="BV22" s="105" t="str">
        <f>IF(ISNUMBER(N22), IF(IsBold(N22), TIME(0,0,0), TIME(8,0,0)), "")</f>
        <v/>
      </c>
      <c r="BW22" s="105" t="str">
        <f>IF(BV22=TIME(0,0,0), BV22 + (N22/24),
 IF(AND(N22&gt;6, N22&lt;10, BV22&gt;=TIME(8,0,0), BV22&lt;TIME(21,0,0)), BV22 + ((N22+0.5)/24),
 IF(AND(N22&gt;10, N22&lt;16.1, BV22&gt;=TIME(7,59,0), BV22&lt;TIME(16,0,0)), BV22 + (N22/24), "")))</f>
        <v/>
      </c>
      <c r="BX22" s="105" t="str">
        <f>IF(ISNUMBER(O22), IF(IsBold(O22), TIME(0,0,0), TIME(8,0,0)), "")</f>
        <v/>
      </c>
      <c r="BY22" s="105" t="str">
        <f>IF(BX22=TIME(0,0,0), BX22 + (O22/24),
 IF(AND(O22&gt;6, O22&lt;10, BX22&gt;=TIME(8,0,0), BX22&lt;TIME(21,0,0)), BX22 + ((O22+0.5)/24),
 IF(AND(O22&gt;10, O22&lt;16.1, BX22&gt;=TIME(7,59,0), BX22&lt;TIME(16,0,0)), BX22 + (O22/24), "")))</f>
        <v/>
      </c>
      <c r="BZ22" s="105" t="str">
        <f>IF(ISNUMBER(P22), IF(IsBold(P22), TIME(0,0,0), TIME(8,0,0)), "")</f>
        <v/>
      </c>
      <c r="CA22" s="105" t="str">
        <f>IF(BZ22=TIME(0,0,0), BZ22 + (P22/24),
 IF(AND(P22&gt;6, P22&lt;10, BZ22&gt;=TIME(8,0,0), BZ22&lt;TIME(21,0,0)), BZ22 + ((P22+0.5)/24),
 IF(AND(P22&gt;10, P22&lt;16.1, BZ22&gt;=TIME(7,59,0), BZ22&lt;TIME(16,0,0)), BZ22 + (P22/24), "")))</f>
        <v/>
      </c>
      <c r="CB22" s="105" t="str">
        <f>IF(ISNUMBER(Q22), IF(IsBold(Q22), TIME(0,0,0), TIME(8,0,0)), "")</f>
        <v/>
      </c>
      <c r="CC22" s="105" t="str">
        <f>IF(CB22=TIME(0,0,0), CB22 + (Q22/24),
 IF(AND(Q22&gt;6, Q22&lt;10, CB22&gt;=TIME(8,0,0), CB22&lt;TIME(21,0,0)), CB22 + ((Q22+0.5)/24),
 IF(AND(Q22&gt;10, Q22&lt;16.1, CB22&gt;=TIME(7,59,0), CB22&lt;TIME(16,0,0)), CB22 + (Q22/24), "")))</f>
        <v/>
      </c>
      <c r="CD22" s="105" t="str">
        <f>IF(ISNUMBER(R22), IF(IsBold(R22), TIME(0,0,0), TIME(8,0,0)), "")</f>
        <v/>
      </c>
      <c r="CE22" s="105" t="str">
        <f>IF(CD22=TIME(0,0,0), CD22 + (R22/24),
 IF(AND(R22&gt;6, R22&lt;10, CD22&gt;=TIME(8,0,0), CD22&lt;TIME(21,0,0)), CD22 + ((R22+0.5)/24),
 IF(AND(R22&gt;10, R22&lt;16.1, CD22&gt;=TIME(7,59,0), CD22&lt;TIME(16,0,0)), CD22 + (R22/24), "")))</f>
        <v/>
      </c>
      <c r="CF22" s="105" t="str">
        <f>IF(ISNUMBER(S22), IF(IsBold(S22), TIME(0,0,0), TIME(8,0,0)), "")</f>
        <v/>
      </c>
      <c r="CG22" s="105" t="str">
        <f>IF(CF22=TIME(0,0,0), CF22 + (S22/24),
 IF(AND(S22&gt;6, S22&lt;10, CF22&gt;=TIME(8,0,0), CF22&lt;TIME(21,0,0)), CF22 + ((S22+0.5)/24),
 IF(AND(S22&gt;10, S22&lt;16.1, CF22&gt;=TIME(7,59,0), CF22&lt;TIME(16,0,0)), CF22 + (S22/24), "")))</f>
        <v/>
      </c>
      <c r="CM22" s="18">
        <f>A22</f>
        <v>12</v>
      </c>
      <c r="CN22" s="107">
        <f>B22</f>
        <v>0</v>
      </c>
      <c r="CO22" s="103">
        <f>C22</f>
        <v>0</v>
      </c>
      <c r="CP22" s="104" t="str">
        <f>IF(ISNUMBER(T22), IF(IsBold(T22), TIME(0,0,0), TIME(8,0,0)), "")</f>
        <v/>
      </c>
      <c r="CQ22" s="105" t="str">
        <f>IF(CP22=TIME(0,0,0), CP22 + (T22/24),
 IF(AND(T22&gt;6, T22&lt;10, CP22&gt;=TIME(8,0,0), CP22&lt;TIME(21,0,0)), CP22 + ((T22+0.5)/24),
 IF(AND(T22&gt;10, T22&lt;16.1, CP22&gt;=TIME(7,59,0), CP22&lt;TIME(16,0,0)), CP22 + (T22/24), "")))</f>
        <v/>
      </c>
      <c r="CR22" s="104" t="str">
        <f>IF(ISNUMBER(U22), IF(IsBold(U22), TIME(0,0,0), TIME(8,0,0)), "")</f>
        <v/>
      </c>
      <c r="CS22" s="105" t="str">
        <f>IF(CR22=TIME(0,0,0), CR22 + (U22/24),
 IF(AND(U22&gt;6, U22&lt;10, CR22&gt;=TIME(8,0,0), CR22&lt;TIME(21,0,0)), CR22 + ((U22+0.5)/24),
 IF(AND(U22&gt;10, U22&lt;16.1, CR22&gt;=TIME(7,59,0), CR22&lt;TIME(16,0,0)), CR22 + (U22/24), "")))</f>
        <v/>
      </c>
      <c r="CT22" s="105" t="str">
        <f>IF(ISNUMBER(V22), IF(IsBold(V22), TIME(0,0,0), TIME(8,0,0)), "")</f>
        <v/>
      </c>
      <c r="CU22" s="105" t="str">
        <f>IF(CT22=TIME(0,0,0), CT22 + (V22/24),
 IF(AND(V22&gt;6, V22&lt;10, CT22&gt;=TIME(8,0,0), CT22&lt;TIME(21,0,0)), CT22 + ((V22+0.5)/24),
 IF(AND(V22&gt;10, V22&lt;16.1, CT22&gt;=TIME(7,59,0), CT22&lt;TIME(16,0,0)), CT22 + (V22/24), "")))</f>
        <v/>
      </c>
      <c r="CV22" s="105" t="str">
        <f>IF(ISNUMBER(W22), IF(IsBold(W22), TIME(0,0,0), TIME(8,0,0)), "")</f>
        <v/>
      </c>
      <c r="CW22" s="105" t="str">
        <f>IF(CV22=TIME(0,0,0), CV22 + (W22/24),
 IF(AND(W22&gt;6, W22&lt;10, CV22&gt;=TIME(8,0,0), CV22&lt;TIME(21,0,0)), CV22 + ((W22+0.5)/24),
 IF(AND(W22&gt;10, W22&lt;16.1, CV22&gt;=TIME(7,59,0), CV22&lt;TIME(16,0,0)), CV22 + (W22/24), "")))</f>
        <v/>
      </c>
      <c r="CX22" s="105" t="str">
        <f>IF(ISNUMBER(X22), IF(IsBold(X22), TIME(0,0,0), TIME(8,0,0)), "")</f>
        <v/>
      </c>
      <c r="CY22" s="105" t="str">
        <f>IF(CX22=TIME(0,0,0), CX22 + (X22/24),
 IF(AND(X22&gt;6, X22&lt;10, CX22&gt;=TIME(8,0,0), CX22&lt;TIME(21,0,0)), CX22 + ((X22+0.5)/24),
 IF(AND(X22&gt;10, X22&lt;16.1, CX22&gt;=TIME(7,59,0), CX22&lt;TIME(16,0,0)), CX22 + (X22/24), "")))</f>
        <v/>
      </c>
      <c r="CZ22" s="105" t="str">
        <f>IF(ISNUMBER(Y22), IF(IsBold(Y22), TIME(0,0,0), TIME(8,0,0)), "")</f>
        <v/>
      </c>
      <c r="DA22" s="105" t="str">
        <f>IF(CZ22=TIME(0,0,0), CZ22 + (Y22/24),
 IF(AND(Y22&gt;6, Y22&lt;10, CZ22&gt;=TIME(8,0,0), CZ22&lt;TIME(21,0,0)), CZ22 + ((Y22+0.5)/24),
 IF(AND(Y22&gt;10, Y22&lt;16.1, CZ22&gt;=TIME(7,59,0), CZ22&lt;TIME(16,0,0)), CZ22 + (Y22/24), "")))</f>
        <v/>
      </c>
      <c r="DB22" s="105" t="str">
        <f>IF(ISNUMBER(Z22), IF(IsBold(Z22), TIME(0,0,0), TIME(8,0,0)), "")</f>
        <v/>
      </c>
      <c r="DC22" s="105" t="str">
        <f>IF(DB22=TIME(0,0,0), DB22 + (Z22/24),
 IF(AND(Z22&gt;6, Z22&lt;10, DB22&gt;=TIME(8,0,0), DB22&lt;TIME(21,0,0)), DB22 + ((Z22+0.5)/24),
 IF(AND(Z22&gt;10, Z22&lt;16.1, DB22&gt;=TIME(7,59,0), DB22&lt;TIME(16,0,0)), DB22 + (Z22/24), "")))</f>
        <v/>
      </c>
      <c r="DD22" s="106" t="str">
        <f>IF(ISNUMBER(AA22), IF(IsBold(AA22), TIME(0,0,0), TIME(8,0,0)), "")</f>
        <v/>
      </c>
      <c r="DE22" s="105" t="str">
        <f>IF(DD22=TIME(0,0,0), DD22 + (AA22/24),
 IF(AND(AA22&gt;6, AA22&lt;10, DD22&gt;=TIME(8,0,0), DD22&lt;TIME(21,0,0)), DD22 + ((AA22+0.5)/24),
 IF(AND(AA22&gt;10, AA22&lt;16.1, DD22&gt;=TIME(7,59,0), DD22&lt;TIME(16,0,0)), DD22 + (AA22/24), "")))</f>
        <v/>
      </c>
      <c r="DF22" s="106" t="str">
        <f>IF(ISNUMBER(AB22), IF(IsBold(AB22), TIME(0,0,0), TIME(8,0,0)), "")</f>
        <v/>
      </c>
      <c r="DG22" s="105" t="str">
        <f>IF(DF22=TIME(0,0,0), DF22 + (AB22/24),
 IF(AND(AB22&gt;6, AB22&lt;10, DF22&gt;=TIME(8,0,0), DF22&lt;TIME(21,0,0)), DF22 + ((AB22+0.5)/24),
 IF(AND(AB22&gt;10, AB22&lt;16.1, DF22&gt;=TIME(7,59,0), DF22&lt;TIME(16,0,0)), DF22 + (AB22/24), "")))</f>
        <v/>
      </c>
      <c r="DH22" s="105" t="str">
        <f>IF(ISNUMBER(AC22), IF(IsBold(AC22), TIME(0,0,0), TIME(8,0,0)), "")</f>
        <v/>
      </c>
      <c r="DI22" s="105" t="str">
        <f>IF(DH22=TIME(0,0,0), DH22 + (AC22/24),
 IF(AND(AC22&gt;6, AC22&lt;10, DH22&gt;=TIME(8,0,0), DH22&lt;TIME(21,0,0)), DH22 + ((AC22+0.5)/24),
 IF(AND(AC22&gt;10, AC22&lt;16.1, DH22&gt;=TIME(7,59,0), DH22&lt;TIME(16,0,0)), DH22 + (AC22/24), "")))</f>
        <v/>
      </c>
      <c r="DJ22" s="105" t="str">
        <f>IF(ISNUMBER(AD22), IF(IsBold(AD22), TIME(0,0,0), TIME(8,0,0)), "")</f>
        <v/>
      </c>
      <c r="DK22" s="105" t="str">
        <f>IF(DJ22=TIME(0,0,0), DJ22 + (AD22/24),
 IF(AND(AD22&gt;6, AD22&lt;10, DJ22&gt;=TIME(8,0,0), DJ22&lt;TIME(21,0,0)), DJ22 + ((AD22+0.5)/24),
 IF(AND(AD22&gt;10, AD22&lt;16.1, DJ22&gt;=TIME(7,59,0), DJ22&lt;TIME(16,0,0)), DJ22 + (AD22/24), "")))</f>
        <v/>
      </c>
      <c r="DL22" s="105" t="str">
        <f>IF(ISNUMBER(AE22), IF(IsBold(AE22), TIME(0,0,0), TIME(8,0,0)), "")</f>
        <v/>
      </c>
      <c r="DM22" s="105" t="str">
        <f>IF(DL22=TIME(0,0,0), DL22 + (AE22/24),
 IF(AND(AE22&gt;6, AE22&lt;10, DL22&gt;=TIME(8,0,0), DL22&lt;TIME(21,0,0)), DL22 + ((AE22+0.5)/24),
 IF(AND(AE22&gt;10, AE22&lt;16.1, DL22&gt;=TIME(7,59,0), DL22&lt;TIME(16,0,0)), DL22 + (AE22/24), "")))</f>
        <v/>
      </c>
      <c r="DN22" s="105" t="str">
        <f>IF(ISNUMBER(AF22), IF(IsBold(AF22), TIME(0,0,0), TIME(8,0,0)), "")</f>
        <v/>
      </c>
      <c r="DO22" s="105" t="str">
        <f>IF(DN22=TIME(0,0,0), DN22 + (AF22/24),
 IF(AND(AF22&gt;6, AF22&lt;10, DN22&gt;=TIME(8,0,0), DN22&lt;TIME(21,0,0)), DN22 + ((AF22+0.5)/24),
 IF(AND(AF22&gt;10, AF22&lt;16.1, DN22&gt;=TIME(7,59,0), DN22&lt;TIME(16,0,0)), DN22 + (AF22/24), "")))</f>
        <v/>
      </c>
      <c r="DP22" s="105" t="str">
        <f>IF(ISNUMBER(AG22), IF(IsBold(AG22), TIME(0,0,0), TIME(8,0,0)), "")</f>
        <v/>
      </c>
      <c r="DQ22" s="105" t="str">
        <f>IF(DP22=TIME(0,0,0), DP22 + (AG22/24),
 IF(AND(AG22&gt;6, AG22&lt;10, DP22&gt;=TIME(8,0,0), DP22&lt;TIME(21,0,0)), DP22 + ((AG22+0.5)/24),
 IF(AND(AG22&gt;10, AG22&lt;16.1, DP22&gt;=TIME(7,59,0), DP22&lt;TIME(16,0,0)), DP22 + (AG22/24), "")))</f>
        <v/>
      </c>
      <c r="DR22" s="105" t="str">
        <f>IF(ISNUMBER(AH22), IF(IsBold(AH22), TIME(0,0,0), TIME(8,0,0)), "")</f>
        <v/>
      </c>
      <c r="DS22" s="105" t="str">
        <f>IF(DR22=TIME(0,0,0), DR22 + (AH22/24),
 IF(AND(AH22&gt;6, AH22&lt;10, DR22&gt;=TIME(8,0,0), DR22&lt;TIME(21,0,0)), DR22 + ((AH22+0.5)/24),
 IF(AND(AH22&gt;10, AH22&lt;16.1, DR22&gt;=TIME(7,59,0), DR22&lt;TIME(16,0,0)), DR22 + (AH22/24), "")))</f>
        <v/>
      </c>
      <c r="DT22" s="105" t="str">
        <f>IF(ISNUMBER(AI22), IF(IsBold(AI22), TIME(0,0,0), TIME(8,0,0)), "")</f>
        <v/>
      </c>
      <c r="DU22" s="105" t="str">
        <f>IF(DT22=TIME(0,0,0), DT22 + (AI22/24),
 IF(AND(AI22&gt;6, AI22&lt;10, DT22&gt;=TIME(8,0,0), DT22&lt;TIME(21,0,0)), DT22 + ((AI22+0.5)/24),
 IF(AND(AI22&gt;10, AI22&lt;16.1, DT22&gt;=TIME(7,59,0), DT22&lt;TIME(16,0,0)), DT22 + (AI22/24), "")))</f>
        <v/>
      </c>
      <c r="DV22" s="110">
        <f t="shared" si="2"/>
        <v>0</v>
      </c>
    </row>
    <row r="23" spans="1:126" ht="15" thickBot="1" x14ac:dyDescent="0.35">
      <c r="A23" s="12">
        <v>13</v>
      </c>
      <c r="B23" s="76"/>
      <c r="C23" s="77"/>
      <c r="D23" s="78"/>
      <c r="E23" s="74"/>
      <c r="F23" s="82"/>
      <c r="G23" s="83"/>
      <c r="H23" s="84"/>
      <c r="I23" s="82"/>
      <c r="J23" s="82"/>
      <c r="K23" s="83"/>
      <c r="L23" s="84"/>
      <c r="M23" s="82"/>
      <c r="N23" s="82"/>
      <c r="O23" s="83"/>
      <c r="P23" s="84"/>
      <c r="Q23" s="82"/>
      <c r="R23" s="82"/>
      <c r="S23" s="83"/>
      <c r="T23" s="84"/>
      <c r="U23" s="82"/>
      <c r="V23" s="82"/>
      <c r="W23" s="83"/>
      <c r="X23" s="84"/>
      <c r="Y23" s="82"/>
      <c r="Z23" s="82"/>
      <c r="AA23" s="83"/>
      <c r="AB23" s="84"/>
      <c r="AC23" s="82"/>
      <c r="AD23" s="82"/>
      <c r="AE23" s="83"/>
      <c r="AF23" s="84"/>
      <c r="AG23" s="74"/>
      <c r="AH23" s="74"/>
      <c r="AI23" s="74"/>
      <c r="AJ23" s="90">
        <f>COUNTIFS(E23:AI23,"&gt;0", E23:AI23,"&lt;&gt;"&amp;"")</f>
        <v>0</v>
      </c>
      <c r="AK23" s="91">
        <f>COUNTIF(E23:AI23, "ВП")</f>
        <v>0</v>
      </c>
      <c r="AL23" s="95">
        <f>COUNTIF(E23:AI23, "ВД")</f>
        <v>0</v>
      </c>
      <c r="AM23" s="91">
        <f>SumBoldNumbers(E23:AI23)</f>
        <v>0</v>
      </c>
      <c r="AN23" s="91">
        <f>SUM(CountWeekendDays(E10)+COUNTIF(E23:AI23,"С"))</f>
        <v>9</v>
      </c>
      <c r="AO23" s="96">
        <f>SUM(E23:AI23)</f>
        <v>0</v>
      </c>
      <c r="AP23" s="93">
        <f>(DAY(EOMONTH(E10, 0)) - AN23 - AK23) * AU23  * D23</f>
        <v>0</v>
      </c>
      <c r="AQ23" s="94">
        <f t="shared" si="6"/>
        <v>0</v>
      </c>
      <c r="AR23" s="101" t="e">
        <f t="shared" si="3"/>
        <v>#DIV/0!</v>
      </c>
      <c r="AU23" s="29">
        <f>IF(C23="вихователь", 6, IF(C23="каштелян", 8, IF(C23="буфетниця", 8, IF(C23="молодша м/с", 8, IF(C23="сестр. госп.", 8, 7.7)))))</f>
        <v>7.7</v>
      </c>
      <c r="BA23" s="18">
        <f>A23</f>
        <v>13</v>
      </c>
      <c r="BB23" s="102">
        <f>B23</f>
        <v>0</v>
      </c>
      <c r="BC23" s="103">
        <f>C23</f>
        <v>0</v>
      </c>
      <c r="BD23" s="104" t="str">
        <f>IF(ISNUMBER(E23), IF(IsBold(E23), TIME(0,0,0), TIME(8,0,0)), "")</f>
        <v/>
      </c>
      <c r="BE23" s="105" t="str">
        <f>IF(BD23=TIME(0,0,0), BD23 + (E23/24),
 IF(AND(E23&gt;6, E23&lt;10, BD23&gt;=TIME(8,0,0), BD23&lt;TIME(21,0,0)), BD23 + ((E23+0.5)/24),
 IF(AND(E23&gt;10, E23&lt;16.1, BD23&gt;=TIME(7,59,0), BD23&lt;TIME(16,0,0)), BD23 + (E23/24), "")))</f>
        <v/>
      </c>
      <c r="BF23" s="105" t="str">
        <f>IF(ISNUMBER(F23), IF(IsBold(F23), TIME(0,0,0), TIME(8,0,0)), "")</f>
        <v/>
      </c>
      <c r="BG23" s="105" t="str">
        <f>IF(BF23=TIME(0,0,0), BF23 + (F23/24),
 IF(AND(F23&gt;6, F23&lt;10, BF23&gt;=TIME(8,0,0), BF23&lt;TIME(21,0,0)), BF23 + ((F23+0.5)/24),
 IF(AND(F23&gt;10, F23&lt;16.1, BF23&gt;=TIME(7,59,0), BF23&lt;TIME(16,0,0)), BF23 + (F23/24), "")))</f>
        <v/>
      </c>
      <c r="BH23" s="105" t="str">
        <f>IF(ISNUMBER(G23), IF(IsBold(G23), TIME(0,0,0), TIME(8,0,0)), "")</f>
        <v/>
      </c>
      <c r="BI23" s="105" t="str">
        <f>IF(BH23=TIME(0,0,0), BH23 + (G23/24),
 IF(AND(G23&gt;6, G23&lt;10, BH23&gt;=TIME(8,0,0), BH23&lt;TIME(21,0,0)), BH23 + ((G23+0.5)/24),
 IF(AND(G23&gt;10, G23&lt;16.1, BH23&gt;=TIME(7,59,0), BH23&lt;TIME(16,0,0)), BH23 + (G23/24), "")))</f>
        <v/>
      </c>
      <c r="BJ23" s="105" t="str">
        <f>IF(ISNUMBER(H23), IF(IsBold(H23), TIME(0,0,0), TIME(8,0,0)), "")</f>
        <v/>
      </c>
      <c r="BK23" s="105" t="str">
        <f>IF(BJ23=TIME(0,0,0), BJ23 + (H23/24),
 IF(AND(H23&gt;6, H23&lt;10, BJ23&gt;=TIME(8,0,0), BJ23&lt;TIME(21,0,0)), BJ23 + ((H23+0.5)/24),
 IF(AND(H23&gt;10, H23&lt;16.1, BJ23&gt;=TIME(7,59,0), BJ23&lt;TIME(16,0,0)), BJ23 + (H23/24), "")))</f>
        <v/>
      </c>
      <c r="BL23" s="105" t="str">
        <f>IF(ISNUMBER(I23), IF(IsBold(I23), TIME(0,0,0), TIME(8,0,0)), "")</f>
        <v/>
      </c>
      <c r="BM23" s="105" t="str">
        <f>IF(BL23=TIME(0,0,0), BL23 + (I23/24),
 IF(AND(I23&gt;6, I23&lt;10, BL23&gt;=TIME(8,0,0), BL23&lt;TIME(21,0,0)), BL23 + ((I23+0.5)/24),
 IF(AND(I23&gt;10, I23&lt;16.1, BL23&gt;=TIME(7,59,0), BL23&lt;TIME(16,0,0)), BL23 + (I23/24), "")))</f>
        <v/>
      </c>
      <c r="BN23" s="105" t="str">
        <f>IF(ISNUMBER(J23), IF(IsBold(J23), TIME(0,0,0), TIME(8,0,0)), "")</f>
        <v/>
      </c>
      <c r="BO23" s="105" t="str">
        <f>IF(BN23=TIME(0,0,0), BN23 + (J23/24),
 IF(AND(J23&gt;6, J23&lt;10, BN23&gt;=TIME(8,0,0), BN23&lt;TIME(21,0,0)), BN23 + ((J23+0.5)/24),
 IF(AND(J23&gt;10, J23&lt;16.1, BN23&gt;=TIME(7,59,0), BN23&lt;TIME(16,0,0)), BN23 + (J23/24), "")))</f>
        <v/>
      </c>
      <c r="BP23" s="105" t="str">
        <f>IF(ISNUMBER(K23), IF(IsBold(K23), TIME(0,0,0), TIME(8,0,0)), "")</f>
        <v/>
      </c>
      <c r="BQ23" s="105" t="str">
        <f>IF(BP23=TIME(0,0,0), BP23 + (K23/24),
 IF(AND(K23&gt;6, K23&lt;10, BP23&gt;=TIME(8,0,0), BP23&lt;TIME(21,0,0)), BP23 + ((K23+0.5)/24),
 IF(AND(K23&gt;10, K23&lt;16.1, BP23&gt;=TIME(7,59,0), BP23&lt;TIME(16,0,0)), BP23 + (K23/24), "")))</f>
        <v/>
      </c>
      <c r="BR23" s="106" t="str">
        <f>IF(ISNUMBER(L23), IF(IsBold(L23), TIME(0,0,0), TIME(8,0,0)), "")</f>
        <v/>
      </c>
      <c r="BS23" s="105" t="str">
        <f>IF(BR23=TIME(0,0,0), BR23 + (L23/24),
 IF(AND(L23&gt;6, L23&lt;10, BR23&gt;=TIME(8,0,0), BR23&lt;TIME(21,0,0)), BR23 + ((L23+0.5)/24),
 IF(AND(L23&gt;10, L23&lt;16.1, BR23&gt;=TIME(7,59,0), BR23&lt;TIME(16,0,0)), BR23 + (L23/24), "")))</f>
        <v/>
      </c>
      <c r="BT23" s="106" t="str">
        <f>IF(ISNUMBER(M23), IF(IsBold(M23), TIME(0,0,0), TIME(8,0,0)), "")</f>
        <v/>
      </c>
      <c r="BU23" s="105" t="str">
        <f>IF(BT23=TIME(0,0,0), BT23 + (M23/24),
 IF(AND(M23&gt;6, M23&lt;10, BT23&gt;=TIME(8,0,0), BT23&lt;TIME(21,0,0)), BT23 + ((M23+0.5)/24),
 IF(AND(M23&gt;10, M23&lt;16.1, BT23&gt;=TIME(7,59,0), BT23&lt;TIME(16,0,0)), BT23 + (M23/24), "")))</f>
        <v/>
      </c>
      <c r="BV23" s="105" t="str">
        <f>IF(ISNUMBER(N23), IF(IsBold(N23), TIME(0,0,0), TIME(8,0,0)), "")</f>
        <v/>
      </c>
      <c r="BW23" s="105" t="str">
        <f>IF(BV23=TIME(0,0,0), BV23 + (N23/24),
 IF(AND(N23&gt;6, N23&lt;10, BV23&gt;=TIME(8,0,0), BV23&lt;TIME(21,0,0)), BV23 + ((N23+0.5)/24),
 IF(AND(N23&gt;10, N23&lt;16.1, BV23&gt;=TIME(7,59,0), BV23&lt;TIME(16,0,0)), BV23 + (N23/24), "")))</f>
        <v/>
      </c>
      <c r="BX23" s="105" t="str">
        <f>IF(ISNUMBER(O23), IF(IsBold(O23), TIME(0,0,0), TIME(8,0,0)), "")</f>
        <v/>
      </c>
      <c r="BY23" s="105" t="str">
        <f>IF(BX23=TIME(0,0,0), BX23 + (O23/24),
 IF(AND(O23&gt;6, O23&lt;10, BX23&gt;=TIME(8,0,0), BX23&lt;TIME(21,0,0)), BX23 + ((O23+0.5)/24),
 IF(AND(O23&gt;10, O23&lt;16.1, BX23&gt;=TIME(7,59,0), BX23&lt;TIME(16,0,0)), BX23 + (O23/24), "")))</f>
        <v/>
      </c>
      <c r="BZ23" s="105" t="str">
        <f>IF(ISNUMBER(P23), IF(IsBold(P23), TIME(0,0,0), TIME(8,0,0)), "")</f>
        <v/>
      </c>
      <c r="CA23" s="105" t="str">
        <f>IF(BZ23=TIME(0,0,0), BZ23 + (P23/24),
 IF(AND(P23&gt;6, P23&lt;10, BZ23&gt;=TIME(8,0,0), BZ23&lt;TIME(21,0,0)), BZ23 + ((P23+0.5)/24),
 IF(AND(P23&gt;10, P23&lt;16.1, BZ23&gt;=TIME(7,59,0), BZ23&lt;TIME(16,0,0)), BZ23 + (P23/24), "")))</f>
        <v/>
      </c>
      <c r="CB23" s="105" t="str">
        <f>IF(ISNUMBER(Q23), IF(IsBold(Q23), TIME(0,0,0), TIME(8,0,0)), "")</f>
        <v/>
      </c>
      <c r="CC23" s="105" t="str">
        <f>IF(CB23=TIME(0,0,0), CB23 + (Q23/24),
 IF(AND(Q23&gt;6, Q23&lt;10, CB23&gt;=TIME(8,0,0), CB23&lt;TIME(21,0,0)), CB23 + ((Q23+0.5)/24),
 IF(AND(Q23&gt;10, Q23&lt;16.1, CB23&gt;=TIME(7,59,0), CB23&lt;TIME(16,0,0)), CB23 + (Q23/24), "")))</f>
        <v/>
      </c>
      <c r="CD23" s="105" t="str">
        <f>IF(ISNUMBER(R23), IF(IsBold(R23), TIME(0,0,0), TIME(8,0,0)), "")</f>
        <v/>
      </c>
      <c r="CE23" s="105" t="str">
        <f>IF(CD23=TIME(0,0,0), CD23 + (R23/24),
 IF(AND(R23&gt;6, R23&lt;10, CD23&gt;=TIME(8,0,0), CD23&lt;TIME(21,0,0)), CD23 + ((R23+0.5)/24),
 IF(AND(R23&gt;10, R23&lt;16.1, CD23&gt;=TIME(7,59,0), CD23&lt;TIME(16,0,0)), CD23 + (R23/24), "")))</f>
        <v/>
      </c>
      <c r="CF23" s="105" t="str">
        <f>IF(ISNUMBER(S23), IF(IsBold(S23), TIME(0,0,0), TIME(8,0,0)), "")</f>
        <v/>
      </c>
      <c r="CG23" s="105" t="str">
        <f>IF(CF23=TIME(0,0,0), CF23 + (S23/24),
 IF(AND(S23&gt;6, S23&lt;10, CF23&gt;=TIME(8,0,0), CF23&lt;TIME(21,0,0)), CF23 + ((S23+0.5)/24),
 IF(AND(S23&gt;10, S23&lt;16.1, CF23&gt;=TIME(7,59,0), CF23&lt;TIME(16,0,0)), CF23 + (S23/24), "")))</f>
        <v/>
      </c>
      <c r="CM23" s="18">
        <f>A23</f>
        <v>13</v>
      </c>
      <c r="CN23" s="107">
        <f>B23</f>
        <v>0</v>
      </c>
      <c r="CO23" s="103">
        <f>C23</f>
        <v>0</v>
      </c>
      <c r="CP23" s="104" t="str">
        <f>IF(ISNUMBER(T23), IF(IsBold(T23), TIME(0,0,0), TIME(8,0,0)), "")</f>
        <v/>
      </c>
      <c r="CQ23" s="105" t="str">
        <f>IF(CP23=TIME(0,0,0), CP23 + (T23/24),
 IF(AND(T23&gt;6, T23&lt;10, CP23&gt;=TIME(8,0,0), CP23&lt;TIME(21,0,0)), CP23 + ((T23+0.5)/24),
 IF(AND(T23&gt;10, T23&lt;16.1, CP23&gt;=TIME(7,59,0), CP23&lt;TIME(16,0,0)), CP23 + (T23/24), "")))</f>
        <v/>
      </c>
      <c r="CR23" s="104" t="str">
        <f>IF(ISNUMBER(U23), IF(IsBold(U23), TIME(0,0,0), TIME(8,0,0)), "")</f>
        <v/>
      </c>
      <c r="CS23" s="105" t="str">
        <f>IF(CR23=TIME(0,0,0), CR23 + (U23/24),
 IF(AND(U23&gt;6, U23&lt;10, CR23&gt;=TIME(8,0,0), CR23&lt;TIME(21,0,0)), CR23 + ((U23+0.5)/24),
 IF(AND(U23&gt;10, U23&lt;16.1, CR23&gt;=TIME(7,59,0), CR23&lt;TIME(16,0,0)), CR23 + (U23/24), "")))</f>
        <v/>
      </c>
      <c r="CT23" s="105" t="str">
        <f>IF(ISNUMBER(V23), IF(IsBold(V23), TIME(0,0,0), TIME(8,0,0)), "")</f>
        <v/>
      </c>
      <c r="CU23" s="105" t="str">
        <f>IF(CT23=TIME(0,0,0), CT23 + (V23/24),
 IF(AND(V23&gt;6, V23&lt;10, CT23&gt;=TIME(8,0,0), CT23&lt;TIME(21,0,0)), CT23 + ((V23+0.5)/24),
 IF(AND(V23&gt;10, V23&lt;16.1, CT23&gt;=TIME(7,59,0), CT23&lt;TIME(16,0,0)), CT23 + (V23/24), "")))</f>
        <v/>
      </c>
      <c r="CV23" s="105" t="str">
        <f>IF(ISNUMBER(W23), IF(IsBold(W23), TIME(0,0,0), TIME(8,0,0)), "")</f>
        <v/>
      </c>
      <c r="CW23" s="105" t="str">
        <f>IF(CV23=TIME(0,0,0), CV23 + (W23/24),
 IF(AND(W23&gt;6, W23&lt;10, CV23&gt;=TIME(8,0,0), CV23&lt;TIME(21,0,0)), CV23 + ((W23+0.5)/24),
 IF(AND(W23&gt;10, W23&lt;16.1, CV23&gt;=TIME(7,59,0), CV23&lt;TIME(16,0,0)), CV23 + (W23/24), "")))</f>
        <v/>
      </c>
      <c r="CX23" s="105" t="str">
        <f>IF(ISNUMBER(X23), IF(IsBold(X23), TIME(0,0,0), TIME(8,0,0)), "")</f>
        <v/>
      </c>
      <c r="CY23" s="105" t="str">
        <f>IF(CX23=TIME(0,0,0), CX23 + (X23/24),
 IF(AND(X23&gt;6, X23&lt;10, CX23&gt;=TIME(8,0,0), CX23&lt;TIME(21,0,0)), CX23 + ((X23+0.5)/24),
 IF(AND(X23&gt;10, X23&lt;16.1, CX23&gt;=TIME(7,59,0), CX23&lt;TIME(16,0,0)), CX23 + (X23/24), "")))</f>
        <v/>
      </c>
      <c r="CZ23" s="105" t="str">
        <f>IF(ISNUMBER(Y23), IF(IsBold(Y23), TIME(0,0,0), TIME(8,0,0)), "")</f>
        <v/>
      </c>
      <c r="DA23" s="105" t="str">
        <f>IF(CZ23=TIME(0,0,0), CZ23 + (Y23/24),
 IF(AND(Y23&gt;6, Y23&lt;10, CZ23&gt;=TIME(8,0,0), CZ23&lt;TIME(21,0,0)), CZ23 + ((Y23+0.5)/24),
 IF(AND(Y23&gt;10, Y23&lt;16.1, CZ23&gt;=TIME(7,59,0), CZ23&lt;TIME(16,0,0)), CZ23 + (Y23/24), "")))</f>
        <v/>
      </c>
      <c r="DB23" s="105" t="str">
        <f>IF(ISNUMBER(Z23), IF(IsBold(Z23), TIME(0,0,0), TIME(8,0,0)), "")</f>
        <v/>
      </c>
      <c r="DC23" s="105" t="str">
        <f>IF(DB23=TIME(0,0,0), DB23 + (Z23/24),
 IF(AND(Z23&gt;6, Z23&lt;10, DB23&gt;=TIME(8,0,0), DB23&lt;TIME(21,0,0)), DB23 + ((Z23+0.5)/24),
 IF(AND(Z23&gt;10, Z23&lt;16.1, DB23&gt;=TIME(7,59,0), DB23&lt;TIME(16,0,0)), DB23 + (Z23/24), "")))</f>
        <v/>
      </c>
      <c r="DD23" s="106" t="str">
        <f>IF(ISNUMBER(AA23), IF(IsBold(AA23), TIME(0,0,0), TIME(8,0,0)), "")</f>
        <v/>
      </c>
      <c r="DE23" s="105" t="str">
        <f>IF(DD23=TIME(0,0,0), DD23 + (AA23/24),
 IF(AND(AA23&gt;6, AA23&lt;10, DD23&gt;=TIME(8,0,0), DD23&lt;TIME(21,0,0)), DD23 + ((AA23+0.5)/24),
 IF(AND(AA23&gt;10, AA23&lt;16.1, DD23&gt;=TIME(7,59,0), DD23&lt;TIME(16,0,0)), DD23 + (AA23/24), "")))</f>
        <v/>
      </c>
      <c r="DF23" s="106" t="str">
        <f>IF(ISNUMBER(AB23), IF(IsBold(AB23), TIME(0,0,0), TIME(8,0,0)), "")</f>
        <v/>
      </c>
      <c r="DG23" s="105" t="str">
        <f>IF(DF23=TIME(0,0,0), DF23 + (AB23/24),
 IF(AND(AB23&gt;6, AB23&lt;10, DF23&gt;=TIME(8,0,0), DF23&lt;TIME(21,0,0)), DF23 + ((AB23+0.5)/24),
 IF(AND(AB23&gt;10, AB23&lt;16.1, DF23&gt;=TIME(7,59,0), DF23&lt;TIME(16,0,0)), DF23 + (AB23/24), "")))</f>
        <v/>
      </c>
      <c r="DH23" s="105" t="str">
        <f>IF(ISNUMBER(AC23), IF(IsBold(AC23), TIME(0,0,0), TIME(8,0,0)), "")</f>
        <v/>
      </c>
      <c r="DI23" s="105" t="str">
        <f>IF(DH23=TIME(0,0,0), DH23 + (AC23/24),
 IF(AND(AC23&gt;6, AC23&lt;10, DH23&gt;=TIME(8,0,0), DH23&lt;TIME(21,0,0)), DH23 + ((AC23+0.5)/24),
 IF(AND(AC23&gt;10, AC23&lt;16.1, DH23&gt;=TIME(7,59,0), DH23&lt;TIME(16,0,0)), DH23 + (AC23/24), "")))</f>
        <v/>
      </c>
      <c r="DJ23" s="105" t="str">
        <f>IF(ISNUMBER(AD23), IF(IsBold(AD23), TIME(0,0,0), TIME(8,0,0)), "")</f>
        <v/>
      </c>
      <c r="DK23" s="105" t="str">
        <f>IF(DJ23=TIME(0,0,0), DJ23 + (AD23/24),
 IF(AND(AD23&gt;6, AD23&lt;10, DJ23&gt;=TIME(8,0,0), DJ23&lt;TIME(21,0,0)), DJ23 + ((AD23+0.5)/24),
 IF(AND(AD23&gt;10, AD23&lt;16.1, DJ23&gt;=TIME(7,59,0), DJ23&lt;TIME(16,0,0)), DJ23 + (AD23/24), "")))</f>
        <v/>
      </c>
      <c r="DL23" s="105" t="str">
        <f>IF(ISNUMBER(AE23), IF(IsBold(AE23), TIME(0,0,0), TIME(8,0,0)), "")</f>
        <v/>
      </c>
      <c r="DM23" s="105" t="str">
        <f>IF(DL23=TIME(0,0,0), DL23 + (AE23/24),
 IF(AND(AE23&gt;6, AE23&lt;10, DL23&gt;=TIME(8,0,0), DL23&lt;TIME(21,0,0)), DL23 + ((AE23+0.5)/24),
 IF(AND(AE23&gt;10, AE23&lt;16.1, DL23&gt;=TIME(7,59,0), DL23&lt;TIME(16,0,0)), DL23 + (AE23/24), "")))</f>
        <v/>
      </c>
      <c r="DN23" s="105" t="str">
        <f>IF(ISNUMBER(AF23), IF(IsBold(AF23), TIME(0,0,0), TIME(8,0,0)), "")</f>
        <v/>
      </c>
      <c r="DO23" s="105" t="str">
        <f>IF(DN23=TIME(0,0,0), DN23 + (AF23/24),
 IF(AND(AF23&gt;6, AF23&lt;10, DN23&gt;=TIME(8,0,0), DN23&lt;TIME(21,0,0)), DN23 + ((AF23+0.5)/24),
 IF(AND(AF23&gt;10, AF23&lt;16.1, DN23&gt;=TIME(7,59,0), DN23&lt;TIME(16,0,0)), DN23 + (AF23/24), "")))</f>
        <v/>
      </c>
      <c r="DP23" s="105" t="str">
        <f>IF(ISNUMBER(AG23), IF(IsBold(AG23), TIME(0,0,0), TIME(8,0,0)), "")</f>
        <v/>
      </c>
      <c r="DQ23" s="105" t="str">
        <f>IF(DP23=TIME(0,0,0), DP23 + (AG23/24),
 IF(AND(AG23&gt;6, AG23&lt;10, DP23&gt;=TIME(8,0,0), DP23&lt;TIME(21,0,0)), DP23 + ((AG23+0.5)/24),
 IF(AND(AG23&gt;10, AG23&lt;16.1, DP23&gt;=TIME(7,59,0), DP23&lt;TIME(16,0,0)), DP23 + (AG23/24), "")))</f>
        <v/>
      </c>
      <c r="DR23" s="105" t="str">
        <f>IF(ISNUMBER(AH23), IF(IsBold(AH23), TIME(0,0,0), TIME(8,0,0)), "")</f>
        <v/>
      </c>
      <c r="DS23" s="105" t="str">
        <f>IF(DR23=TIME(0,0,0), DR23 + (AH23/24),
 IF(AND(AH23&gt;6, AH23&lt;10, DR23&gt;=TIME(8,0,0), DR23&lt;TIME(21,0,0)), DR23 + ((AH23+0.5)/24),
 IF(AND(AH23&gt;10, AH23&lt;16.1, DR23&gt;=TIME(7,59,0), DR23&lt;TIME(16,0,0)), DR23 + (AH23/24), "")))</f>
        <v/>
      </c>
      <c r="DT23" s="105" t="str">
        <f>IF(ISNUMBER(AI23), IF(IsBold(AI23), TIME(0,0,0), TIME(8,0,0)), "")</f>
        <v/>
      </c>
      <c r="DU23" s="105" t="str">
        <f>IF(DT23=TIME(0,0,0), DT23 + (AI23/24),
 IF(AND(AI23&gt;6, AI23&lt;10, DT23&gt;=TIME(8,0,0), DT23&lt;TIME(21,0,0)), DT23 + ((AI23+0.5)/24),
 IF(AND(AI23&gt;10, AI23&lt;16.1, DT23&gt;=TIME(7,59,0), DT23&lt;TIME(16,0,0)), DT23 + (AI23/24), "")))</f>
        <v/>
      </c>
      <c r="DV23" s="110">
        <f t="shared" si="2"/>
        <v>0</v>
      </c>
    </row>
    <row r="24" spans="1:126" ht="15" thickBot="1" x14ac:dyDescent="0.35">
      <c r="A24" s="12">
        <v>14</v>
      </c>
      <c r="B24" s="76"/>
      <c r="C24" s="77"/>
      <c r="D24" s="78"/>
      <c r="E24" s="74"/>
      <c r="F24" s="82"/>
      <c r="G24" s="83"/>
      <c r="H24" s="84"/>
      <c r="I24" s="82"/>
      <c r="J24" s="82"/>
      <c r="K24" s="83"/>
      <c r="L24" s="84"/>
      <c r="M24" s="82"/>
      <c r="N24" s="82"/>
      <c r="O24" s="83"/>
      <c r="P24" s="84"/>
      <c r="Q24" s="82"/>
      <c r="R24" s="82"/>
      <c r="S24" s="83"/>
      <c r="T24" s="84"/>
      <c r="U24" s="82"/>
      <c r="V24" s="82"/>
      <c r="W24" s="83"/>
      <c r="X24" s="84"/>
      <c r="Y24" s="82"/>
      <c r="Z24" s="82"/>
      <c r="AA24" s="83"/>
      <c r="AB24" s="84"/>
      <c r="AC24" s="82"/>
      <c r="AD24" s="82"/>
      <c r="AE24" s="83"/>
      <c r="AF24" s="84"/>
      <c r="AG24" s="74"/>
      <c r="AH24" s="74"/>
      <c r="AI24" s="74"/>
      <c r="AJ24" s="90">
        <f>COUNTIFS(E24:AI24,"&gt;0", E24:AI24,"&lt;&gt;"&amp;"")</f>
        <v>0</v>
      </c>
      <c r="AK24" s="91">
        <f>COUNTIF(E24:AI24, "ВП")</f>
        <v>0</v>
      </c>
      <c r="AL24" s="95">
        <f>COUNTIF(E24:AI24, "ВД")</f>
        <v>0</v>
      </c>
      <c r="AM24" s="91">
        <f>SumBoldNumbers(E24:AI24)</f>
        <v>0</v>
      </c>
      <c r="AN24" s="91">
        <f>SUM(CountWeekendDays(E10)+COUNTIF(E24:AI24,"С"))</f>
        <v>9</v>
      </c>
      <c r="AO24" s="96">
        <f>SUM(E24:AI24)</f>
        <v>0</v>
      </c>
      <c r="AP24" s="93">
        <f>(DAY(EOMONTH(E10, 0)) - AN24 - AK24) * AU24  * D24</f>
        <v>0</v>
      </c>
      <c r="AQ24" s="94">
        <f t="shared" si="6"/>
        <v>0</v>
      </c>
      <c r="AR24" s="101" t="e">
        <f t="shared" si="3"/>
        <v>#DIV/0!</v>
      </c>
      <c r="AU24" s="29">
        <f>IF(C24="вихователь", 6, IF(C24="каштелян", 8, IF(C24="буфетниця", 8, IF(C24="молодша м/с", 8, IF(C24="сестр. госп.", 8, 7.7)))))</f>
        <v>7.7</v>
      </c>
      <c r="BA24" s="18">
        <f>A24</f>
        <v>14</v>
      </c>
      <c r="BB24" s="102">
        <f>B24</f>
        <v>0</v>
      </c>
      <c r="BC24" s="103">
        <f>C24</f>
        <v>0</v>
      </c>
      <c r="BD24" s="104" t="str">
        <f>IF(ISNUMBER(E24), IF(IsBold(E24), TIME(0,0,0), TIME(8,0,0)), "")</f>
        <v/>
      </c>
      <c r="BE24" s="105" t="str">
        <f>IF(BD24=TIME(0,0,0), BD24 + (E24/24),
 IF(AND(E24&gt;6, E24&lt;10, BD24&gt;=TIME(8,0,0), BD24&lt;TIME(21,0,0)), BD24 + ((E24+0.5)/24),
 IF(AND(E24&gt;10, E24&lt;16.1, BD24&gt;=TIME(7,59,0), BD24&lt;TIME(16,0,0)), BD24 + (E24/24), "")))</f>
        <v/>
      </c>
      <c r="BF24" s="105" t="str">
        <f>IF(ISNUMBER(F24), IF(IsBold(F24), TIME(0,0,0), TIME(8,0,0)), "")</f>
        <v/>
      </c>
      <c r="BG24" s="105" t="str">
        <f>IF(BF24=TIME(0,0,0), BF24 + (F24/24),
 IF(AND(F24&gt;6, F24&lt;10, BF24&gt;=TIME(8,0,0), BF24&lt;TIME(21,0,0)), BF24 + ((F24+0.5)/24),
 IF(AND(F24&gt;10, F24&lt;16.1, BF24&gt;=TIME(7,59,0), BF24&lt;TIME(16,0,0)), BF24 + (F24/24), "")))</f>
        <v/>
      </c>
      <c r="BH24" s="105" t="str">
        <f>IF(ISNUMBER(G24), IF(IsBold(G24), TIME(0,0,0), TIME(8,0,0)), "")</f>
        <v/>
      </c>
      <c r="BI24" s="105" t="str">
        <f>IF(BH24=TIME(0,0,0), BH24 + (G24/24),
 IF(AND(G24&gt;6, G24&lt;10, BH24&gt;=TIME(8,0,0), BH24&lt;TIME(21,0,0)), BH24 + ((G24+0.5)/24),
 IF(AND(G24&gt;10, G24&lt;16.1, BH24&gt;=TIME(7,59,0), BH24&lt;TIME(16,0,0)), BH24 + (G24/24), "")))</f>
        <v/>
      </c>
      <c r="BJ24" s="105" t="str">
        <f>IF(ISNUMBER(H24), IF(IsBold(H24), TIME(0,0,0), TIME(8,0,0)), "")</f>
        <v/>
      </c>
      <c r="BK24" s="105" t="str">
        <f>IF(BJ24=TIME(0,0,0), BJ24 + (H24/24),
 IF(AND(H24&gt;6, H24&lt;10, BJ24&gt;=TIME(8,0,0), BJ24&lt;TIME(21,0,0)), BJ24 + ((H24+0.5)/24),
 IF(AND(H24&gt;10, H24&lt;16.1, BJ24&gt;=TIME(7,59,0), BJ24&lt;TIME(16,0,0)), BJ24 + (H24/24), "")))</f>
        <v/>
      </c>
      <c r="BL24" s="105" t="str">
        <f>IF(ISNUMBER(I24), IF(IsBold(I24), TIME(0,0,0), TIME(8,0,0)), "")</f>
        <v/>
      </c>
      <c r="BM24" s="105" t="str">
        <f>IF(BL24=TIME(0,0,0), BL24 + (I24/24),
 IF(AND(I24&gt;6, I24&lt;10, BL24&gt;=TIME(8,0,0), BL24&lt;TIME(21,0,0)), BL24 + ((I24+0.5)/24),
 IF(AND(I24&gt;10, I24&lt;16.1, BL24&gt;=TIME(7,59,0), BL24&lt;TIME(16,0,0)), BL24 + (I24/24), "")))</f>
        <v/>
      </c>
      <c r="BN24" s="105" t="str">
        <f>IF(ISNUMBER(J24), IF(IsBold(J24), TIME(0,0,0), TIME(8,0,0)), "")</f>
        <v/>
      </c>
      <c r="BO24" s="105" t="str">
        <f>IF(BN24=TIME(0,0,0), BN24 + (J24/24),
 IF(AND(J24&gt;6, J24&lt;10, BN24&gt;=TIME(8,0,0), BN24&lt;TIME(21,0,0)), BN24 + ((J24+0.5)/24),
 IF(AND(J24&gt;10, J24&lt;16.1, BN24&gt;=TIME(7,59,0), BN24&lt;TIME(16,0,0)), BN24 + (J24/24), "")))</f>
        <v/>
      </c>
      <c r="BP24" s="105" t="str">
        <f>IF(ISNUMBER(K24), IF(IsBold(K24), TIME(0,0,0), TIME(8,0,0)), "")</f>
        <v/>
      </c>
      <c r="BQ24" s="105" t="str">
        <f>IF(BP24=TIME(0,0,0), BP24 + (K24/24),
 IF(AND(K24&gt;6, K24&lt;10, BP24&gt;=TIME(8,0,0), BP24&lt;TIME(21,0,0)), BP24 + ((K24+0.5)/24),
 IF(AND(K24&gt;10, K24&lt;16.1, BP24&gt;=TIME(7,59,0), BP24&lt;TIME(16,0,0)), BP24 + (K24/24), "")))</f>
        <v/>
      </c>
      <c r="BR24" s="106" t="str">
        <f>IF(ISNUMBER(L24), IF(IsBold(L24), TIME(0,0,0), TIME(8,0,0)), "")</f>
        <v/>
      </c>
      <c r="BS24" s="105" t="str">
        <f>IF(BR24=TIME(0,0,0), BR24 + (L24/24),
 IF(AND(L24&gt;6, L24&lt;10, BR24&gt;=TIME(8,0,0), BR24&lt;TIME(21,0,0)), BR24 + ((L24+0.5)/24),
 IF(AND(L24&gt;10, L24&lt;16.1, BR24&gt;=TIME(7,59,0), BR24&lt;TIME(16,0,0)), BR24 + (L24/24), "")))</f>
        <v/>
      </c>
      <c r="BT24" s="106" t="str">
        <f>IF(ISNUMBER(M24), IF(IsBold(M24), TIME(0,0,0), TIME(8,0,0)), "")</f>
        <v/>
      </c>
      <c r="BU24" s="105" t="str">
        <f>IF(BT24=TIME(0,0,0), BT24 + (M24/24),
 IF(AND(M24&gt;6, M24&lt;10, BT24&gt;=TIME(8,0,0), BT24&lt;TIME(21,0,0)), BT24 + ((M24+0.5)/24),
 IF(AND(M24&gt;10, M24&lt;16.1, BT24&gt;=TIME(7,59,0), BT24&lt;TIME(16,0,0)), BT24 + (M24/24), "")))</f>
        <v/>
      </c>
      <c r="BV24" s="105" t="str">
        <f>IF(ISNUMBER(N24), IF(IsBold(N24), TIME(0,0,0), TIME(8,0,0)), "")</f>
        <v/>
      </c>
      <c r="BW24" s="105" t="str">
        <f>IF(BV24=TIME(0,0,0), BV24 + (N24/24),
 IF(AND(N24&gt;6, N24&lt;10, BV24&gt;=TIME(8,0,0), BV24&lt;TIME(21,0,0)), BV24 + ((N24+0.5)/24),
 IF(AND(N24&gt;10, N24&lt;16.1, BV24&gt;=TIME(7,59,0), BV24&lt;TIME(16,0,0)), BV24 + (N24/24), "")))</f>
        <v/>
      </c>
      <c r="BX24" s="105" t="str">
        <f>IF(ISNUMBER(O24), IF(IsBold(O24), TIME(0,0,0), TIME(8,0,0)), "")</f>
        <v/>
      </c>
      <c r="BY24" s="105" t="str">
        <f>IF(BX24=TIME(0,0,0), BX24 + (O24/24),
 IF(AND(O24&gt;6, O24&lt;10, BX24&gt;=TIME(8,0,0), BX24&lt;TIME(21,0,0)), BX24 + ((O24+0.5)/24),
 IF(AND(O24&gt;10, O24&lt;16.1, BX24&gt;=TIME(7,59,0), BX24&lt;TIME(16,0,0)), BX24 + (O24/24), "")))</f>
        <v/>
      </c>
      <c r="BZ24" s="105" t="str">
        <f>IF(ISNUMBER(P24), IF(IsBold(P24), TIME(0,0,0), TIME(8,0,0)), "")</f>
        <v/>
      </c>
      <c r="CA24" s="105" t="str">
        <f>IF(BZ24=TIME(0,0,0), BZ24 + (P24/24),
 IF(AND(P24&gt;6, P24&lt;10, BZ24&gt;=TIME(8,0,0), BZ24&lt;TIME(21,0,0)), BZ24 + ((P24+0.5)/24),
 IF(AND(P24&gt;10, P24&lt;16.1, BZ24&gt;=TIME(7,59,0), BZ24&lt;TIME(16,0,0)), BZ24 + (P24/24), "")))</f>
        <v/>
      </c>
      <c r="CB24" s="105" t="str">
        <f>IF(ISNUMBER(Q24), IF(IsBold(Q24), TIME(0,0,0), TIME(8,0,0)), "")</f>
        <v/>
      </c>
      <c r="CC24" s="105" t="str">
        <f>IF(CB24=TIME(0,0,0), CB24 + (Q24/24),
 IF(AND(Q24&gt;6, Q24&lt;10, CB24&gt;=TIME(8,0,0), CB24&lt;TIME(21,0,0)), CB24 + ((Q24+0.5)/24),
 IF(AND(Q24&gt;10, Q24&lt;16.1, CB24&gt;=TIME(7,59,0), CB24&lt;TIME(16,0,0)), CB24 + (Q24/24), "")))</f>
        <v/>
      </c>
      <c r="CD24" s="105" t="str">
        <f>IF(ISNUMBER(R24), IF(IsBold(R24), TIME(0,0,0), TIME(8,0,0)), "")</f>
        <v/>
      </c>
      <c r="CE24" s="105" t="str">
        <f>IF(CD24=TIME(0,0,0), CD24 + (R24/24),
 IF(AND(R24&gt;6, R24&lt;10, CD24&gt;=TIME(8,0,0), CD24&lt;TIME(21,0,0)), CD24 + ((R24+0.5)/24),
 IF(AND(R24&gt;10, R24&lt;16.1, CD24&gt;=TIME(7,59,0), CD24&lt;TIME(16,0,0)), CD24 + (R24/24), "")))</f>
        <v/>
      </c>
      <c r="CF24" s="105" t="str">
        <f>IF(ISNUMBER(S24), IF(IsBold(S24), TIME(0,0,0), TIME(8,0,0)), "")</f>
        <v/>
      </c>
      <c r="CG24" s="105" t="str">
        <f>IF(CF24=TIME(0,0,0), CF24 + (S24/24),
 IF(AND(S24&gt;6, S24&lt;10, CF24&gt;=TIME(8,0,0), CF24&lt;TIME(21,0,0)), CF24 + ((S24+0.5)/24),
 IF(AND(S24&gt;10, S24&lt;16.1, CF24&gt;=TIME(7,59,0), CF24&lt;TIME(16,0,0)), CF24 + (S24/24), "")))</f>
        <v/>
      </c>
      <c r="CM24" s="18">
        <f>A24</f>
        <v>14</v>
      </c>
      <c r="CN24" s="107">
        <f>B24</f>
        <v>0</v>
      </c>
      <c r="CO24" s="103">
        <f>C24</f>
        <v>0</v>
      </c>
      <c r="CP24" s="104" t="str">
        <f>IF(ISNUMBER(T24), IF(IsBold(T24), TIME(0,0,0), TIME(8,0,0)), "")</f>
        <v/>
      </c>
      <c r="CQ24" s="105" t="str">
        <f>IF(CP24=TIME(0,0,0), CP24 + (T24/24),
 IF(AND(T24&gt;6, T24&lt;10, CP24&gt;=TIME(8,0,0), CP24&lt;TIME(21,0,0)), CP24 + ((T24+0.5)/24),
 IF(AND(T24&gt;10, T24&lt;16.1, CP24&gt;=TIME(7,59,0), CP24&lt;TIME(16,0,0)), CP24 + (T24/24), "")))</f>
        <v/>
      </c>
      <c r="CR24" s="104" t="str">
        <f>IF(ISNUMBER(U24), IF(IsBold(U24), TIME(0,0,0), TIME(8,0,0)), "")</f>
        <v/>
      </c>
      <c r="CS24" s="105" t="str">
        <f>IF(CR24=TIME(0,0,0), CR24 + (U24/24),
 IF(AND(U24&gt;6, U24&lt;10, CR24&gt;=TIME(8,0,0), CR24&lt;TIME(21,0,0)), CR24 + ((U24+0.5)/24),
 IF(AND(U24&gt;10, U24&lt;16.1, CR24&gt;=TIME(7,59,0), CR24&lt;TIME(16,0,0)), CR24 + (U24/24), "")))</f>
        <v/>
      </c>
      <c r="CT24" s="105" t="str">
        <f>IF(ISNUMBER(V24), IF(IsBold(V24), TIME(0,0,0), TIME(8,0,0)), "")</f>
        <v/>
      </c>
      <c r="CU24" s="105" t="str">
        <f>IF(CT24=TIME(0,0,0), CT24 + (V24/24),
 IF(AND(V24&gt;6, V24&lt;10, CT24&gt;=TIME(8,0,0), CT24&lt;TIME(21,0,0)), CT24 + ((V24+0.5)/24),
 IF(AND(V24&gt;10, V24&lt;16.1, CT24&gt;=TIME(7,59,0), CT24&lt;TIME(16,0,0)), CT24 + (V24/24), "")))</f>
        <v/>
      </c>
      <c r="CV24" s="105" t="str">
        <f>IF(ISNUMBER(W24), IF(IsBold(W24), TIME(0,0,0), TIME(8,0,0)), "")</f>
        <v/>
      </c>
      <c r="CW24" s="105" t="str">
        <f>IF(CV24=TIME(0,0,0), CV24 + (W24/24),
 IF(AND(W24&gt;6, W24&lt;10, CV24&gt;=TIME(8,0,0), CV24&lt;TIME(21,0,0)), CV24 + ((W24+0.5)/24),
 IF(AND(W24&gt;10, W24&lt;16.1, CV24&gt;=TIME(7,59,0), CV24&lt;TIME(16,0,0)), CV24 + (W24/24), "")))</f>
        <v/>
      </c>
      <c r="CX24" s="105" t="str">
        <f>IF(ISNUMBER(X24), IF(IsBold(X24), TIME(0,0,0), TIME(8,0,0)), "")</f>
        <v/>
      </c>
      <c r="CY24" s="105" t="str">
        <f>IF(CX24=TIME(0,0,0), CX24 + (X24/24),
 IF(AND(X24&gt;6, X24&lt;10, CX24&gt;=TIME(8,0,0), CX24&lt;TIME(21,0,0)), CX24 + ((X24+0.5)/24),
 IF(AND(X24&gt;10, X24&lt;16.1, CX24&gt;=TIME(7,59,0), CX24&lt;TIME(16,0,0)), CX24 + (X24/24), "")))</f>
        <v/>
      </c>
      <c r="CZ24" s="105" t="str">
        <f>IF(ISNUMBER(Y24), IF(IsBold(Y24), TIME(0,0,0), TIME(8,0,0)), "")</f>
        <v/>
      </c>
      <c r="DA24" s="105" t="str">
        <f>IF(CZ24=TIME(0,0,0), CZ24 + (Y24/24),
 IF(AND(Y24&gt;6, Y24&lt;10, CZ24&gt;=TIME(8,0,0), CZ24&lt;TIME(21,0,0)), CZ24 + ((Y24+0.5)/24),
 IF(AND(Y24&gt;10, Y24&lt;16.1, CZ24&gt;=TIME(7,59,0), CZ24&lt;TIME(16,0,0)), CZ24 + (Y24/24), "")))</f>
        <v/>
      </c>
      <c r="DB24" s="105" t="str">
        <f>IF(ISNUMBER(Z24), IF(IsBold(Z24), TIME(0,0,0), TIME(8,0,0)), "")</f>
        <v/>
      </c>
      <c r="DC24" s="105" t="str">
        <f>IF(DB24=TIME(0,0,0), DB24 + (Z24/24),
 IF(AND(Z24&gt;6, Z24&lt;10, DB24&gt;=TIME(8,0,0), DB24&lt;TIME(21,0,0)), DB24 + ((Z24+0.5)/24),
 IF(AND(Z24&gt;10, Z24&lt;16.1, DB24&gt;=TIME(7,59,0), DB24&lt;TIME(16,0,0)), DB24 + (Z24/24), "")))</f>
        <v/>
      </c>
      <c r="DD24" s="106" t="str">
        <f>IF(ISNUMBER(AA24), IF(IsBold(AA24), TIME(0,0,0), TIME(8,0,0)), "")</f>
        <v/>
      </c>
      <c r="DE24" s="105" t="str">
        <f>IF(DD24=TIME(0,0,0), DD24 + (AA24/24),
 IF(AND(AA24&gt;6, AA24&lt;10, DD24&gt;=TIME(8,0,0), DD24&lt;TIME(21,0,0)), DD24 + ((AA24+0.5)/24),
 IF(AND(AA24&gt;10, AA24&lt;16.1, DD24&gt;=TIME(7,59,0), DD24&lt;TIME(16,0,0)), DD24 + (AA24/24), "")))</f>
        <v/>
      </c>
      <c r="DF24" s="106" t="str">
        <f>IF(ISNUMBER(AB24), IF(IsBold(AB24), TIME(0,0,0), TIME(8,0,0)), "")</f>
        <v/>
      </c>
      <c r="DG24" s="105" t="str">
        <f>IF(DF24=TIME(0,0,0), DF24 + (AB24/24),
 IF(AND(AB24&gt;6, AB24&lt;10, DF24&gt;=TIME(8,0,0), DF24&lt;TIME(21,0,0)), DF24 + ((AB24+0.5)/24),
 IF(AND(AB24&gt;10, AB24&lt;16.1, DF24&gt;=TIME(7,59,0), DF24&lt;TIME(16,0,0)), DF24 + (AB24/24), "")))</f>
        <v/>
      </c>
      <c r="DH24" s="105" t="str">
        <f>IF(ISNUMBER(AC24), IF(IsBold(AC24), TIME(0,0,0), TIME(8,0,0)), "")</f>
        <v/>
      </c>
      <c r="DI24" s="105" t="str">
        <f>IF(DH24=TIME(0,0,0), DH24 + (AC24/24),
 IF(AND(AC24&gt;6, AC24&lt;10, DH24&gt;=TIME(8,0,0), DH24&lt;TIME(21,0,0)), DH24 + ((AC24+0.5)/24),
 IF(AND(AC24&gt;10, AC24&lt;16.1, DH24&gt;=TIME(7,59,0), DH24&lt;TIME(16,0,0)), DH24 + (AC24/24), "")))</f>
        <v/>
      </c>
      <c r="DJ24" s="105" t="str">
        <f>IF(ISNUMBER(AD24), IF(IsBold(AD24), TIME(0,0,0), TIME(8,0,0)), "")</f>
        <v/>
      </c>
      <c r="DK24" s="105" t="str">
        <f>IF(DJ24=TIME(0,0,0), DJ24 + (AD24/24),
 IF(AND(AD24&gt;6, AD24&lt;10, DJ24&gt;=TIME(8,0,0), DJ24&lt;TIME(21,0,0)), DJ24 + ((AD24+0.5)/24),
 IF(AND(AD24&gt;10, AD24&lt;16.1, DJ24&gt;=TIME(7,59,0), DJ24&lt;TIME(16,0,0)), DJ24 + (AD24/24), "")))</f>
        <v/>
      </c>
      <c r="DL24" s="105" t="str">
        <f>IF(ISNUMBER(AE24), IF(IsBold(AE24), TIME(0,0,0), TIME(8,0,0)), "")</f>
        <v/>
      </c>
      <c r="DM24" s="105" t="str">
        <f>IF(DL24=TIME(0,0,0), DL24 + (AE24/24),
 IF(AND(AE24&gt;6, AE24&lt;10, DL24&gt;=TIME(8,0,0), DL24&lt;TIME(21,0,0)), DL24 + ((AE24+0.5)/24),
 IF(AND(AE24&gt;10, AE24&lt;16.1, DL24&gt;=TIME(7,59,0), DL24&lt;TIME(16,0,0)), DL24 + (AE24/24), "")))</f>
        <v/>
      </c>
      <c r="DN24" s="105" t="str">
        <f>IF(ISNUMBER(AF24), IF(IsBold(AF24), TIME(0,0,0), TIME(8,0,0)), "")</f>
        <v/>
      </c>
      <c r="DO24" s="105" t="str">
        <f>IF(DN24=TIME(0,0,0), DN24 + (AF24/24),
 IF(AND(AF24&gt;6, AF24&lt;10, DN24&gt;=TIME(8,0,0), DN24&lt;TIME(21,0,0)), DN24 + ((AF24+0.5)/24),
 IF(AND(AF24&gt;10, AF24&lt;16.1, DN24&gt;=TIME(7,59,0), DN24&lt;TIME(16,0,0)), DN24 + (AF24/24), "")))</f>
        <v/>
      </c>
      <c r="DP24" s="105" t="str">
        <f>IF(ISNUMBER(AG24), IF(IsBold(AG24), TIME(0,0,0), TIME(8,0,0)), "")</f>
        <v/>
      </c>
      <c r="DQ24" s="105" t="str">
        <f>IF(DP24=TIME(0,0,0), DP24 + (AG24/24),
 IF(AND(AG24&gt;6, AG24&lt;10, DP24&gt;=TIME(8,0,0), DP24&lt;TIME(21,0,0)), DP24 + ((AG24+0.5)/24),
 IF(AND(AG24&gt;10, AG24&lt;16.1, DP24&gt;=TIME(7,59,0), DP24&lt;TIME(16,0,0)), DP24 + (AG24/24), "")))</f>
        <v/>
      </c>
      <c r="DR24" s="105" t="str">
        <f>IF(ISNUMBER(AH24), IF(IsBold(AH24), TIME(0,0,0), TIME(8,0,0)), "")</f>
        <v/>
      </c>
      <c r="DS24" s="105" t="str">
        <f>IF(DR24=TIME(0,0,0), DR24 + (AH24/24),
 IF(AND(AH24&gt;6, AH24&lt;10, DR24&gt;=TIME(8,0,0), DR24&lt;TIME(21,0,0)), DR24 + ((AH24+0.5)/24),
 IF(AND(AH24&gt;10, AH24&lt;16.1, DR24&gt;=TIME(7,59,0), DR24&lt;TIME(16,0,0)), DR24 + (AH24/24), "")))</f>
        <v/>
      </c>
      <c r="DT24" s="105" t="str">
        <f>IF(ISNUMBER(AI24), IF(IsBold(AI24), TIME(0,0,0), TIME(8,0,0)), "")</f>
        <v/>
      </c>
      <c r="DU24" s="105" t="str">
        <f>IF(DT24=TIME(0,0,0), DT24 + (AI24/24),
 IF(AND(AI24&gt;6, AI24&lt;10, DT24&gt;=TIME(8,0,0), DT24&lt;TIME(21,0,0)), DT24 + ((AI24+0.5)/24),
 IF(AND(AI24&gt;10, AI24&lt;16.1, DT24&gt;=TIME(7,59,0), DT24&lt;TIME(16,0,0)), DT24 + (AI24/24), "")))</f>
        <v/>
      </c>
      <c r="DV24" s="110">
        <f t="shared" si="2"/>
        <v>0</v>
      </c>
    </row>
    <row r="25" spans="1:126" ht="15" thickBot="1" x14ac:dyDescent="0.35">
      <c r="A25" s="12">
        <v>15</v>
      </c>
      <c r="B25" s="76"/>
      <c r="C25" s="77"/>
      <c r="D25" s="78"/>
      <c r="E25" s="74"/>
      <c r="F25" s="82"/>
      <c r="G25" s="83"/>
      <c r="H25" s="84"/>
      <c r="I25" s="82"/>
      <c r="J25" s="82"/>
      <c r="K25" s="83"/>
      <c r="L25" s="84"/>
      <c r="M25" s="82"/>
      <c r="N25" s="82"/>
      <c r="O25" s="83"/>
      <c r="P25" s="84"/>
      <c r="Q25" s="82"/>
      <c r="R25" s="82"/>
      <c r="S25" s="83"/>
      <c r="T25" s="84"/>
      <c r="U25" s="82"/>
      <c r="V25" s="82"/>
      <c r="W25" s="83"/>
      <c r="X25" s="84"/>
      <c r="Y25" s="82"/>
      <c r="Z25" s="82"/>
      <c r="AA25" s="83"/>
      <c r="AB25" s="84"/>
      <c r="AC25" s="82"/>
      <c r="AD25" s="82"/>
      <c r="AE25" s="83"/>
      <c r="AF25" s="84"/>
      <c r="AG25" s="74"/>
      <c r="AH25" s="74"/>
      <c r="AI25" s="74"/>
      <c r="AJ25" s="90">
        <f>COUNTIFS(E25:AI25,"&gt;0", E25:AI25,"&lt;&gt;"&amp;"")</f>
        <v>0</v>
      </c>
      <c r="AK25" s="91">
        <f>COUNTIF(E25:AI25, "ВП")</f>
        <v>0</v>
      </c>
      <c r="AL25" s="95">
        <f>COUNTIF(E25:AI25, "ВД")</f>
        <v>0</v>
      </c>
      <c r="AM25" s="91">
        <f>SumBoldNumbers(E25:AI25)</f>
        <v>0</v>
      </c>
      <c r="AN25" s="91">
        <f>SUM(CountWeekendDays(E10)+COUNTIF(E25:AI25,"С"))</f>
        <v>9</v>
      </c>
      <c r="AO25" s="96">
        <f>SUM(E25:AI25)</f>
        <v>0</v>
      </c>
      <c r="AP25" s="93">
        <f>(DAY(EOMONTH(E10, 0)) - AN25 - AK25) * AU25  * D25</f>
        <v>0</v>
      </c>
      <c r="AQ25" s="94">
        <f t="shared" si="6"/>
        <v>0</v>
      </c>
      <c r="AR25" s="101" t="e">
        <f t="shared" si="3"/>
        <v>#DIV/0!</v>
      </c>
      <c r="AU25" s="29">
        <f>IF(C25="вихователь", 6, IF(C25="каштелян", 8, IF(C25="буфетниця", 8, IF(C25="молодша м/с", 8, IF(C25="сестр. госп.", 8, 7.7)))))</f>
        <v>7.7</v>
      </c>
      <c r="BA25" s="18">
        <f>A25</f>
        <v>15</v>
      </c>
      <c r="BB25" s="107">
        <f>B25</f>
        <v>0</v>
      </c>
      <c r="BC25" s="103">
        <f>C25</f>
        <v>0</v>
      </c>
      <c r="BD25" s="104" t="str">
        <f>IF(ISNUMBER(E25), IF(IsBold(E25), TIME(0,0,0), TIME(8,0,0)), "")</f>
        <v/>
      </c>
      <c r="BE25" s="105" t="str">
        <f>IF(BD25=TIME(0,0,0), BD25 + (E25/24),
 IF(AND(E25&gt;6, E25&lt;10, BD25&gt;=TIME(8,0,0), BD25&lt;TIME(21,0,0)), BD25 + ((E25+0.5)/24),
 IF(AND(E25&gt;10, E25&lt;16.1, BD25&gt;=TIME(7,59,0), BD25&lt;TIME(16,0,0)), BD25 + (E25/24), "")))</f>
        <v/>
      </c>
      <c r="BF25" s="105" t="str">
        <f>IF(ISNUMBER(F25), IF(IsBold(F25), TIME(0,0,0), TIME(8,0,0)), "")</f>
        <v/>
      </c>
      <c r="BG25" s="105" t="str">
        <f>IF(BF25=TIME(0,0,0), BF25 + (F25/24),
 IF(AND(F25&gt;6, F25&lt;10, BF25&gt;=TIME(8,0,0), BF25&lt;TIME(21,0,0)), BF25 + ((F25+0.5)/24),
 IF(AND(F25&gt;10, F25&lt;16.1, BF25&gt;=TIME(7,59,0), BF25&lt;TIME(16,0,0)), BF25 + (F25/24), "")))</f>
        <v/>
      </c>
      <c r="BH25" s="105" t="str">
        <f>IF(ISNUMBER(G25), IF(IsBold(G25), TIME(0,0,0), TIME(8,0,0)), "")</f>
        <v/>
      </c>
      <c r="BI25" s="105" t="str">
        <f>IF(BH25=TIME(0,0,0), BH25 + (G25/24),
 IF(AND(G25&gt;6, G25&lt;10, BH25&gt;=TIME(8,0,0), BH25&lt;TIME(21,0,0)), BH25 + ((G25+0.5)/24),
 IF(AND(G25&gt;10, G25&lt;16.1, BH25&gt;=TIME(7,59,0), BH25&lt;TIME(16,0,0)), BH25 + (G25/24), "")))</f>
        <v/>
      </c>
      <c r="BJ25" s="105" t="str">
        <f>IF(ISNUMBER(H25), IF(IsBold(H25), TIME(0,0,0), TIME(8,0,0)), "")</f>
        <v/>
      </c>
      <c r="BK25" s="105" t="str">
        <f>IF(BJ25=TIME(0,0,0), BJ25 + (H25/24),
 IF(AND(H25&gt;6, H25&lt;10, BJ25&gt;=TIME(8,0,0), BJ25&lt;TIME(21,0,0)), BJ25 + ((H25+0.5)/24),
 IF(AND(H25&gt;10, H25&lt;16.1, BJ25&gt;=TIME(7,59,0), BJ25&lt;TIME(16,0,0)), BJ25 + (H25/24), "")))</f>
        <v/>
      </c>
      <c r="BL25" s="105" t="str">
        <f>IF(ISNUMBER(I25), IF(IsBold(I25), TIME(0,0,0), TIME(8,0,0)), "")</f>
        <v/>
      </c>
      <c r="BM25" s="105" t="str">
        <f>IF(BL25=TIME(0,0,0), BL25 + (I25/24),
 IF(AND(I25&gt;6, I25&lt;10, BL25&gt;=TIME(8,0,0), BL25&lt;TIME(21,0,0)), BL25 + ((I25+0.5)/24),
 IF(AND(I25&gt;10, I25&lt;16.1, BL25&gt;=TIME(7,59,0), BL25&lt;TIME(16,0,0)), BL25 + (I25/24), "")))</f>
        <v/>
      </c>
      <c r="BN25" s="105" t="str">
        <f>IF(ISNUMBER(J25), IF(IsBold(J25), TIME(0,0,0), TIME(8,0,0)), "")</f>
        <v/>
      </c>
      <c r="BO25" s="105" t="str">
        <f>IF(BN25=TIME(0,0,0), BN25 + (J25/24),
 IF(AND(J25&gt;6, J25&lt;10, BN25&gt;=TIME(8,0,0), BN25&lt;TIME(21,0,0)), BN25 + ((J25+0.5)/24),
 IF(AND(J25&gt;10, J25&lt;16.1, BN25&gt;=TIME(7,59,0), BN25&lt;TIME(16,0,0)), BN25 + (J25/24), "")))</f>
        <v/>
      </c>
      <c r="BP25" s="105" t="str">
        <f>IF(ISNUMBER(K25), IF(IsBold(K25), TIME(0,0,0), TIME(8,0,0)), "")</f>
        <v/>
      </c>
      <c r="BQ25" s="105" t="str">
        <f>IF(BP25=TIME(0,0,0), BP25 + (K25/24),
 IF(AND(K25&gt;6, K25&lt;10, BP25&gt;=TIME(8,0,0), BP25&lt;TIME(21,0,0)), BP25 + ((K25+0.5)/24),
 IF(AND(K25&gt;10, K25&lt;16.1, BP25&gt;=TIME(7,59,0), BP25&lt;TIME(16,0,0)), BP25 + (K25/24), "")))</f>
        <v/>
      </c>
      <c r="BR25" s="106" t="str">
        <f>IF(ISNUMBER(L25), IF(IsBold(L25), TIME(0,0,0), TIME(8,0,0)), "")</f>
        <v/>
      </c>
      <c r="BS25" s="105" t="str">
        <f>IF(BR25=TIME(0,0,0), BR25 + (L25/24),
 IF(AND(L25&gt;6, L25&lt;10, BR25&gt;=TIME(8,0,0), BR25&lt;TIME(21,0,0)), BR25 + ((L25+0.5)/24),
 IF(AND(L25&gt;10, L25&lt;16.1, BR25&gt;=TIME(7,59,0), BR25&lt;TIME(16,0,0)), BR25 + (L25/24), "")))</f>
        <v/>
      </c>
      <c r="BT25" s="106" t="str">
        <f>IF(ISNUMBER(M25), IF(IsBold(M25), TIME(0,0,0), TIME(8,0,0)), "")</f>
        <v/>
      </c>
      <c r="BU25" s="105" t="str">
        <f>IF(BT25=TIME(0,0,0), BT25 + (M25/24),
 IF(AND(M25&gt;6, M25&lt;10, BT25&gt;=TIME(8,0,0), BT25&lt;TIME(21,0,0)), BT25 + ((M25+0.5)/24),
 IF(AND(M25&gt;10, M25&lt;16.1, BT25&gt;=TIME(7,59,0), BT25&lt;TIME(16,0,0)), BT25 + (M25/24), "")))</f>
        <v/>
      </c>
      <c r="BV25" s="105" t="str">
        <f>IF(ISNUMBER(N25), IF(IsBold(N25), TIME(0,0,0), TIME(8,0,0)), "")</f>
        <v/>
      </c>
      <c r="BW25" s="105" t="str">
        <f>IF(BV25=TIME(0,0,0), BV25 + (N25/24),
 IF(AND(N25&gt;6, N25&lt;10, BV25&gt;=TIME(8,0,0), BV25&lt;TIME(21,0,0)), BV25 + ((N25+0.5)/24),
 IF(AND(N25&gt;10, N25&lt;16.1, BV25&gt;=TIME(7,59,0), BV25&lt;TIME(16,0,0)), BV25 + (N25/24), "")))</f>
        <v/>
      </c>
      <c r="BX25" s="105" t="str">
        <f>IF(ISNUMBER(O25), IF(IsBold(O25), TIME(0,0,0), TIME(8,0,0)), "")</f>
        <v/>
      </c>
      <c r="BY25" s="105" t="str">
        <f>IF(BX25=TIME(0,0,0), BX25 + (O25/24),
 IF(AND(O25&gt;6, O25&lt;10, BX25&gt;=TIME(8,0,0), BX25&lt;TIME(21,0,0)), BX25 + ((O25+0.5)/24),
 IF(AND(O25&gt;10, O25&lt;16.1, BX25&gt;=TIME(7,59,0), BX25&lt;TIME(16,0,0)), BX25 + (O25/24), "")))</f>
        <v/>
      </c>
      <c r="BZ25" s="105" t="str">
        <f>IF(ISNUMBER(P25), IF(IsBold(P25), TIME(0,0,0), TIME(8,0,0)), "")</f>
        <v/>
      </c>
      <c r="CA25" s="105" t="str">
        <f>IF(BZ25=TIME(0,0,0), BZ25 + (P25/24),
 IF(AND(P25&gt;6, P25&lt;10, BZ25&gt;=TIME(8,0,0), BZ25&lt;TIME(21,0,0)), BZ25 + ((P25+0.5)/24),
 IF(AND(P25&gt;10, P25&lt;16.1, BZ25&gt;=TIME(7,59,0), BZ25&lt;TIME(16,0,0)), BZ25 + (P25/24), "")))</f>
        <v/>
      </c>
      <c r="CB25" s="105" t="str">
        <f>IF(ISNUMBER(Q25), IF(IsBold(Q25), TIME(0,0,0), TIME(8,0,0)), "")</f>
        <v/>
      </c>
      <c r="CC25" s="105" t="str">
        <f>IF(CB25=TIME(0,0,0), CB25 + (Q25/24),
 IF(AND(Q25&gt;6, Q25&lt;10, CB25&gt;=TIME(8,0,0), CB25&lt;TIME(21,0,0)), CB25 + ((Q25+0.5)/24),
 IF(AND(Q25&gt;10, Q25&lt;16.1, CB25&gt;=TIME(7,59,0), CB25&lt;TIME(16,0,0)), CB25 + (Q25/24), "")))</f>
        <v/>
      </c>
      <c r="CD25" s="105" t="str">
        <f>IF(ISNUMBER(R25), IF(IsBold(R25), TIME(0,0,0), TIME(8,0,0)), "")</f>
        <v/>
      </c>
      <c r="CE25" s="105" t="str">
        <f>IF(CD25=TIME(0,0,0), CD25 + (R25/24),
 IF(AND(R25&gt;6, R25&lt;10, CD25&gt;=TIME(8,0,0), CD25&lt;TIME(21,0,0)), CD25 + ((R25+0.5)/24),
 IF(AND(R25&gt;10, R25&lt;16.1, CD25&gt;=TIME(7,59,0), CD25&lt;TIME(16,0,0)), CD25 + (R25/24), "")))</f>
        <v/>
      </c>
      <c r="CF25" s="105" t="str">
        <f>IF(ISNUMBER(S25), IF(IsBold(S25), TIME(0,0,0), TIME(8,0,0)), "")</f>
        <v/>
      </c>
      <c r="CG25" s="105" t="str">
        <f>IF(CF25=TIME(0,0,0), CF25 + (S25/24),
 IF(AND(S25&gt;6, S25&lt;10, CF25&gt;=TIME(8,0,0), CF25&lt;TIME(21,0,0)), CF25 + ((S25+0.5)/24),
 IF(AND(S25&gt;10, S25&lt;16.1, CF25&gt;=TIME(7,59,0), CF25&lt;TIME(16,0,0)), CF25 + (S25/24), "")))</f>
        <v/>
      </c>
      <c r="CM25" s="18">
        <f>A25</f>
        <v>15</v>
      </c>
      <c r="CN25" s="107">
        <f>B25</f>
        <v>0</v>
      </c>
      <c r="CO25" s="103">
        <f>C25</f>
        <v>0</v>
      </c>
      <c r="CP25" s="104" t="str">
        <f>IF(ISNUMBER(T25), IF(IsBold(T25), TIME(0,0,0), TIME(8,0,0)), "")</f>
        <v/>
      </c>
      <c r="CQ25" s="105" t="str">
        <f>IF(CP25=TIME(0,0,0), CP25 + (T25/24),
 IF(AND(T25&gt;6, T25&lt;10, CP25&gt;=TIME(8,0,0), CP25&lt;TIME(21,0,0)), CP25 + ((T25+0.5)/24),
 IF(AND(T25&gt;10, T25&lt;16.1, CP25&gt;=TIME(7,59,0), CP25&lt;TIME(16,0,0)), CP25 + (T25/24), "")))</f>
        <v/>
      </c>
      <c r="CR25" s="104" t="str">
        <f>IF(ISNUMBER(U25), IF(IsBold(U25), TIME(0,0,0), TIME(8,0,0)), "")</f>
        <v/>
      </c>
      <c r="CS25" s="105" t="str">
        <f>IF(CR25=TIME(0,0,0), CR25 + (U25/24),
 IF(AND(U25&gt;6, U25&lt;10, CR25&gt;=TIME(8,0,0), CR25&lt;TIME(21,0,0)), CR25 + ((U25+0.5)/24),
 IF(AND(U25&gt;10, U25&lt;16.1, CR25&gt;=TIME(7,59,0), CR25&lt;TIME(16,0,0)), CR25 + (U25/24), "")))</f>
        <v/>
      </c>
      <c r="CT25" s="105" t="str">
        <f>IF(ISNUMBER(V25), IF(IsBold(V25), TIME(0,0,0), TIME(8,0,0)), "")</f>
        <v/>
      </c>
      <c r="CU25" s="105" t="str">
        <f>IF(CT25=TIME(0,0,0), CT25 + (V25/24),
 IF(AND(V25&gt;6, V25&lt;10, CT25&gt;=TIME(8,0,0), CT25&lt;TIME(21,0,0)), CT25 + ((V25+0.5)/24),
 IF(AND(V25&gt;10, V25&lt;16.1, CT25&gt;=TIME(7,59,0), CT25&lt;TIME(16,0,0)), CT25 + (V25/24), "")))</f>
        <v/>
      </c>
      <c r="CV25" s="105" t="str">
        <f>IF(ISNUMBER(W25), IF(IsBold(W25), TIME(0,0,0), TIME(8,0,0)), "")</f>
        <v/>
      </c>
      <c r="CW25" s="105" t="str">
        <f>IF(CV25=TIME(0,0,0), CV25 + (W25/24),
 IF(AND(W25&gt;6, W25&lt;10, CV25&gt;=TIME(8,0,0), CV25&lt;TIME(21,0,0)), CV25 + ((W25+0.5)/24),
 IF(AND(W25&gt;10, W25&lt;16.1, CV25&gt;=TIME(7,59,0), CV25&lt;TIME(16,0,0)), CV25 + (W25/24), "")))</f>
        <v/>
      </c>
      <c r="CX25" s="105" t="str">
        <f>IF(ISNUMBER(X25), IF(IsBold(X25), TIME(0,0,0), TIME(8,0,0)), "")</f>
        <v/>
      </c>
      <c r="CY25" s="105" t="str">
        <f>IF(CX25=TIME(0,0,0), CX25 + (X25/24),
 IF(AND(X25&gt;6, X25&lt;10, CX25&gt;=TIME(8,0,0), CX25&lt;TIME(21,0,0)), CX25 + ((X25+0.5)/24),
 IF(AND(X25&gt;10, X25&lt;16.1, CX25&gt;=TIME(7,59,0), CX25&lt;TIME(16,0,0)), CX25 + (X25/24), "")))</f>
        <v/>
      </c>
      <c r="CZ25" s="105" t="str">
        <f>IF(ISNUMBER(Y25), IF(IsBold(Y25), TIME(0,0,0), TIME(8,0,0)), "")</f>
        <v/>
      </c>
      <c r="DA25" s="105" t="str">
        <f>IF(CZ25=TIME(0,0,0), CZ25 + (Y25/24),
 IF(AND(Y25&gt;6, Y25&lt;10, CZ25&gt;=TIME(8,0,0), CZ25&lt;TIME(21,0,0)), CZ25 + ((Y25+0.5)/24),
 IF(AND(Y25&gt;10, Y25&lt;16.1, CZ25&gt;=TIME(7,59,0), CZ25&lt;TIME(16,0,0)), CZ25 + (Y25/24), "")))</f>
        <v/>
      </c>
      <c r="DB25" s="105" t="str">
        <f>IF(ISNUMBER(Z25), IF(IsBold(Z25), TIME(0,0,0), TIME(8,0,0)), "")</f>
        <v/>
      </c>
      <c r="DC25" s="105" t="str">
        <f>IF(DB25=TIME(0,0,0), DB25 + (Z25/24),
 IF(AND(Z25&gt;6, Z25&lt;10, DB25&gt;=TIME(8,0,0), DB25&lt;TIME(21,0,0)), DB25 + ((Z25+0.5)/24),
 IF(AND(Z25&gt;10, Z25&lt;16.1, DB25&gt;=TIME(7,59,0), DB25&lt;TIME(16,0,0)), DB25 + (Z25/24), "")))</f>
        <v/>
      </c>
      <c r="DD25" s="106" t="str">
        <f>IF(ISNUMBER(AA25), IF(IsBold(AA25), TIME(0,0,0), TIME(8,0,0)), "")</f>
        <v/>
      </c>
      <c r="DE25" s="105" t="str">
        <f>IF(DD25=TIME(0,0,0), DD25 + (AA25/24),
 IF(AND(AA25&gt;6, AA25&lt;10, DD25&gt;=TIME(8,0,0), DD25&lt;TIME(21,0,0)), DD25 + ((AA25+0.5)/24),
 IF(AND(AA25&gt;10, AA25&lt;16.1, DD25&gt;=TIME(7,59,0), DD25&lt;TIME(16,0,0)), DD25 + (AA25/24), "")))</f>
        <v/>
      </c>
      <c r="DF25" s="106" t="str">
        <f>IF(ISNUMBER(AB25), IF(IsBold(AB25), TIME(0,0,0), TIME(8,0,0)), "")</f>
        <v/>
      </c>
      <c r="DG25" s="105" t="str">
        <f>IF(DF25=TIME(0,0,0), DF25 + (AB25/24),
 IF(AND(AB25&gt;6, AB25&lt;10, DF25&gt;=TIME(8,0,0), DF25&lt;TIME(21,0,0)), DF25 + ((AB25+0.5)/24),
 IF(AND(AB25&gt;10, AB25&lt;16.1, DF25&gt;=TIME(7,59,0), DF25&lt;TIME(16,0,0)), DF25 + (AB25/24), "")))</f>
        <v/>
      </c>
      <c r="DH25" s="105" t="str">
        <f>IF(ISNUMBER(AC25), IF(IsBold(AC25), TIME(0,0,0), TIME(8,0,0)), "")</f>
        <v/>
      </c>
      <c r="DI25" s="105" t="str">
        <f>IF(DH25=TIME(0,0,0), DH25 + (AC25/24),
 IF(AND(AC25&gt;6, AC25&lt;10, DH25&gt;=TIME(8,0,0), DH25&lt;TIME(21,0,0)), DH25 + ((AC25+0.5)/24),
 IF(AND(AC25&gt;10, AC25&lt;16.1, DH25&gt;=TIME(7,59,0), DH25&lt;TIME(16,0,0)), DH25 + (AC25/24), "")))</f>
        <v/>
      </c>
      <c r="DJ25" s="105" t="str">
        <f>IF(ISNUMBER(AD25), IF(IsBold(AD25), TIME(0,0,0), TIME(8,0,0)), "")</f>
        <v/>
      </c>
      <c r="DK25" s="105" t="str">
        <f>IF(DJ25=TIME(0,0,0), DJ25 + (AD25/24),
 IF(AND(AD25&gt;6, AD25&lt;10, DJ25&gt;=TIME(8,0,0), DJ25&lt;TIME(21,0,0)), DJ25 + ((AD25+0.5)/24),
 IF(AND(AD25&gt;10, AD25&lt;16.1, DJ25&gt;=TIME(7,59,0), DJ25&lt;TIME(16,0,0)), DJ25 + (AD25/24), "")))</f>
        <v/>
      </c>
      <c r="DL25" s="105" t="str">
        <f>IF(ISNUMBER(AE25), IF(IsBold(AE25), TIME(0,0,0), TIME(8,0,0)), "")</f>
        <v/>
      </c>
      <c r="DM25" s="105" t="str">
        <f>IF(DL25=TIME(0,0,0), DL25 + (AE25/24),
 IF(AND(AE25&gt;6, AE25&lt;10, DL25&gt;=TIME(8,0,0), DL25&lt;TIME(21,0,0)), DL25 + ((AE25+0.5)/24),
 IF(AND(AE25&gt;10, AE25&lt;16.1, DL25&gt;=TIME(7,59,0), DL25&lt;TIME(16,0,0)), DL25 + (AE25/24), "")))</f>
        <v/>
      </c>
      <c r="DN25" s="105" t="str">
        <f>IF(ISNUMBER(AF25), IF(IsBold(AF25), TIME(0,0,0), TIME(8,0,0)), "")</f>
        <v/>
      </c>
      <c r="DO25" s="105" t="str">
        <f>IF(DN25=TIME(0,0,0), DN25 + (AF25/24),
 IF(AND(AF25&gt;6, AF25&lt;10, DN25&gt;=TIME(8,0,0), DN25&lt;TIME(21,0,0)), DN25 + ((AF25+0.5)/24),
 IF(AND(AF25&gt;10, AF25&lt;16.1, DN25&gt;=TIME(7,59,0), DN25&lt;TIME(16,0,0)), DN25 + (AF25/24), "")))</f>
        <v/>
      </c>
      <c r="DP25" s="105" t="str">
        <f>IF(ISNUMBER(AG25), IF(IsBold(AG25), TIME(0,0,0), TIME(8,0,0)), "")</f>
        <v/>
      </c>
      <c r="DQ25" s="105" t="str">
        <f>IF(DP25=TIME(0,0,0), DP25 + (AG25/24),
 IF(AND(AG25&gt;6, AG25&lt;10, DP25&gt;=TIME(8,0,0), DP25&lt;TIME(21,0,0)), DP25 + ((AG25+0.5)/24),
 IF(AND(AG25&gt;10, AG25&lt;16.1, DP25&gt;=TIME(7,59,0), DP25&lt;TIME(16,0,0)), DP25 + (AG25/24), "")))</f>
        <v/>
      </c>
      <c r="DR25" s="105" t="str">
        <f>IF(ISNUMBER(AH25), IF(IsBold(AH25), TIME(0,0,0), TIME(8,0,0)), "")</f>
        <v/>
      </c>
      <c r="DS25" s="105" t="str">
        <f>IF(DR25=TIME(0,0,0), DR25 + (AH25/24),
 IF(AND(AH25&gt;6, AH25&lt;10, DR25&gt;=TIME(8,0,0), DR25&lt;TIME(21,0,0)), DR25 + ((AH25+0.5)/24),
 IF(AND(AH25&gt;10, AH25&lt;16.1, DR25&gt;=TIME(7,59,0), DR25&lt;TIME(16,0,0)), DR25 + (AH25/24), "")))</f>
        <v/>
      </c>
      <c r="DT25" s="105" t="str">
        <f>IF(ISNUMBER(AI25), IF(IsBold(AI25), TIME(0,0,0), TIME(8,0,0)), "")</f>
        <v/>
      </c>
      <c r="DU25" s="105" t="str">
        <f>IF(DT25=TIME(0,0,0), DT25 + (AI25/24),
 IF(AND(AI25&gt;6, AI25&lt;10, DT25&gt;=TIME(8,0,0), DT25&lt;TIME(21,0,0)), DT25 + ((AI25+0.5)/24),
 IF(AND(AI25&gt;10, AI25&lt;16.1, DT25&gt;=TIME(7,59,0), DT25&lt;TIME(16,0,0)), DT25 + (AI25/24), "")))</f>
        <v/>
      </c>
      <c r="DV25" s="110">
        <f t="shared" si="2"/>
        <v>0</v>
      </c>
    </row>
    <row r="26" spans="1:126" ht="15" thickBot="1" x14ac:dyDescent="0.35">
      <c r="A26" s="12">
        <v>16</v>
      </c>
      <c r="B26" s="76"/>
      <c r="C26" s="77"/>
      <c r="D26" s="78"/>
      <c r="E26" s="74"/>
      <c r="F26" s="82"/>
      <c r="G26" s="83"/>
      <c r="H26" s="84"/>
      <c r="I26" s="82"/>
      <c r="J26" s="82"/>
      <c r="K26" s="83"/>
      <c r="L26" s="84"/>
      <c r="M26" s="82"/>
      <c r="N26" s="82"/>
      <c r="O26" s="83"/>
      <c r="P26" s="84"/>
      <c r="Q26" s="82"/>
      <c r="R26" s="82"/>
      <c r="S26" s="83"/>
      <c r="T26" s="84"/>
      <c r="U26" s="82"/>
      <c r="V26" s="82"/>
      <c r="W26" s="83"/>
      <c r="X26" s="84"/>
      <c r="Y26" s="82"/>
      <c r="Z26" s="82"/>
      <c r="AA26" s="83"/>
      <c r="AB26" s="84"/>
      <c r="AC26" s="82"/>
      <c r="AD26" s="82"/>
      <c r="AE26" s="83"/>
      <c r="AF26" s="84"/>
      <c r="AG26" s="74"/>
      <c r="AH26" s="74"/>
      <c r="AI26" s="74"/>
      <c r="AJ26" s="90">
        <f>COUNTIFS(E26:AI26,"&gt;0", E26:AI26,"&lt;&gt;"&amp;"")</f>
        <v>0</v>
      </c>
      <c r="AK26" s="91">
        <f>COUNTIF(E26:AI26, "ВП")</f>
        <v>0</v>
      </c>
      <c r="AL26" s="95">
        <f>COUNTIF(E26:AI26, "ВД")</f>
        <v>0</v>
      </c>
      <c r="AM26" s="91">
        <f>SumBoldNumbers(E26:AI26)</f>
        <v>0</v>
      </c>
      <c r="AN26" s="91">
        <f>SUM(CountWeekendDays(E10)+COUNTIF(E26:AI26,"С"))</f>
        <v>9</v>
      </c>
      <c r="AO26" s="96">
        <f>SUM(E26:AI26)</f>
        <v>0</v>
      </c>
      <c r="AP26" s="93">
        <f>(DAY(EOMONTH(E10, 0)) - AN26 - AK26) * AU26  * D26</f>
        <v>0</v>
      </c>
      <c r="AQ26" s="94">
        <f t="shared" si="6"/>
        <v>0</v>
      </c>
      <c r="AR26" s="101" t="e">
        <f t="shared" si="3"/>
        <v>#DIV/0!</v>
      </c>
      <c r="AU26" s="29">
        <f>IF(C26="вихователь", 6, IF(C26="каштелян", 8, IF(C26="буфетниця", 8, IF(C26="молодша м/с", 8, IF(C26="сестр. госп.", 8, 7.7)))))</f>
        <v>7.7</v>
      </c>
      <c r="BA26" s="18">
        <f>A26</f>
        <v>16</v>
      </c>
      <c r="BB26" s="107">
        <f>B26</f>
        <v>0</v>
      </c>
      <c r="BC26" s="103">
        <f>C26</f>
        <v>0</v>
      </c>
      <c r="BD26" s="104" t="str">
        <f>IF(ISNUMBER(E26), IF(IsBold(E26), TIME(0,0,0), TIME(8,0,0)), "")</f>
        <v/>
      </c>
      <c r="BE26" s="105" t="str">
        <f>IF(BD26=TIME(0,0,0), BD26 + (E26/24),
 IF(AND(E26&gt;6, E26&lt;10, BD26&gt;=TIME(8,0,0), BD26&lt;TIME(21,0,0)), BD26 + ((E26+0.5)/24),
 IF(AND(E26&gt;10, E26&lt;16.1, BD26&gt;=TIME(7,59,0), BD26&lt;TIME(16,0,0)), BD26 + (E26/24), "")))</f>
        <v/>
      </c>
      <c r="BF26" s="105" t="str">
        <f>IF(ISNUMBER(F26), IF(IsBold(F26), TIME(0,0,0), TIME(8,0,0)), "")</f>
        <v/>
      </c>
      <c r="BG26" s="105" t="str">
        <f>IF(BF26=TIME(0,0,0), BF26 + (F26/24),
 IF(AND(F26&gt;6, F26&lt;10, BF26&gt;=TIME(8,0,0), BF26&lt;TIME(21,0,0)), BF26 + ((F26+0.5)/24),
 IF(AND(F26&gt;10, F26&lt;16.1, BF26&gt;=TIME(7,59,0), BF26&lt;TIME(16,0,0)), BF26 + (F26/24), "")))</f>
        <v/>
      </c>
      <c r="BH26" s="105" t="str">
        <f>IF(ISNUMBER(G26), IF(IsBold(G26), TIME(0,0,0), TIME(8,0,0)), "")</f>
        <v/>
      </c>
      <c r="BI26" s="105" t="str">
        <f>IF(BH26=TIME(0,0,0), BH26 + (G26/24),
 IF(AND(G26&gt;6, G26&lt;10, BH26&gt;=TIME(8,0,0), BH26&lt;TIME(21,0,0)), BH26 + ((G26+0.5)/24),
 IF(AND(G26&gt;10, G26&lt;16.1, BH26&gt;=TIME(7,59,0), BH26&lt;TIME(16,0,0)), BH26 + (G26/24), "")))</f>
        <v/>
      </c>
      <c r="BJ26" s="105" t="str">
        <f>IF(ISNUMBER(H26), IF(IsBold(H26), TIME(0,0,0), TIME(8,0,0)), "")</f>
        <v/>
      </c>
      <c r="BK26" s="105" t="str">
        <f>IF(BJ26=TIME(0,0,0), BJ26 + (H26/24),
 IF(AND(H26&gt;6, H26&lt;10, BJ26&gt;=TIME(8,0,0), BJ26&lt;TIME(21,0,0)), BJ26 + ((H26+0.5)/24),
 IF(AND(H26&gt;10, H26&lt;16.1, BJ26&gt;=TIME(7,59,0), BJ26&lt;TIME(16,0,0)), BJ26 + (H26/24), "")))</f>
        <v/>
      </c>
      <c r="BL26" s="105" t="str">
        <f>IF(ISNUMBER(I26), IF(IsBold(I26), TIME(0,0,0), TIME(8,0,0)), "")</f>
        <v/>
      </c>
      <c r="BM26" s="105" t="str">
        <f>IF(BL26=TIME(0,0,0), BL26 + (I26/24),
 IF(AND(I26&gt;6, I26&lt;10, BL26&gt;=TIME(8,0,0), BL26&lt;TIME(21,0,0)), BL26 + ((I26+0.5)/24),
 IF(AND(I26&gt;10, I26&lt;16.1, BL26&gt;=TIME(7,59,0), BL26&lt;TIME(16,0,0)), BL26 + (I26/24), "")))</f>
        <v/>
      </c>
      <c r="BN26" s="105" t="str">
        <f>IF(ISNUMBER(J26), IF(IsBold(J26), TIME(0,0,0), TIME(8,0,0)), "")</f>
        <v/>
      </c>
      <c r="BO26" s="105" t="str">
        <f>IF(BN26=TIME(0,0,0), BN26 + (J26/24),
 IF(AND(J26&gt;6, J26&lt;10, BN26&gt;=TIME(8,0,0), BN26&lt;TIME(21,0,0)), BN26 + ((J26+0.5)/24),
 IF(AND(J26&gt;10, J26&lt;16.1, BN26&gt;=TIME(7,59,0), BN26&lt;TIME(16,0,0)), BN26 + (J26/24), "")))</f>
        <v/>
      </c>
      <c r="BP26" s="105" t="str">
        <f>IF(ISNUMBER(K26), IF(IsBold(K26), TIME(0,0,0), TIME(8,0,0)), "")</f>
        <v/>
      </c>
      <c r="BQ26" s="105" t="str">
        <f>IF(BP26=TIME(0,0,0), BP26 + (K26/24),
 IF(AND(K26&gt;6, K26&lt;10, BP26&gt;=TIME(8,0,0), BP26&lt;TIME(21,0,0)), BP26 + ((K26+0.5)/24),
 IF(AND(K26&gt;10, K26&lt;16.1, BP26&gt;=TIME(7,59,0), BP26&lt;TIME(16,0,0)), BP26 + (K26/24), "")))</f>
        <v/>
      </c>
      <c r="BR26" s="106" t="str">
        <f>IF(ISNUMBER(L26), IF(IsBold(L26), TIME(0,0,0), TIME(8,0,0)), "")</f>
        <v/>
      </c>
      <c r="BS26" s="105" t="str">
        <f>IF(BR26=TIME(0,0,0), BR26 + (L26/24),
 IF(AND(L26&gt;6, L26&lt;10, BR26&gt;=TIME(8,0,0), BR26&lt;TIME(21,0,0)), BR26 + ((L26+0.5)/24),
 IF(AND(L26&gt;10, L26&lt;16.1, BR26&gt;=TIME(7,59,0), BR26&lt;TIME(16,0,0)), BR26 + (L26/24), "")))</f>
        <v/>
      </c>
      <c r="BT26" s="106" t="str">
        <f>IF(ISNUMBER(M26), IF(IsBold(M26), TIME(0,0,0), TIME(8,0,0)), "")</f>
        <v/>
      </c>
      <c r="BU26" s="105" t="str">
        <f>IF(BT26=TIME(0,0,0), BT26 + (M26/24),
 IF(AND(M26&gt;6, M26&lt;10, BT26&gt;=TIME(8,0,0), BT26&lt;TIME(21,0,0)), BT26 + ((M26+0.5)/24),
 IF(AND(M26&gt;10, M26&lt;16.1, BT26&gt;=TIME(7,59,0), BT26&lt;TIME(16,0,0)), BT26 + (M26/24), "")))</f>
        <v/>
      </c>
      <c r="BV26" s="105" t="str">
        <f>IF(ISNUMBER(N26), IF(IsBold(N26), TIME(0,0,0), TIME(8,0,0)), "")</f>
        <v/>
      </c>
      <c r="BW26" s="105" t="str">
        <f>IF(BV26=TIME(0,0,0), BV26 + (N26/24),
 IF(AND(N26&gt;6, N26&lt;10, BV26&gt;=TIME(8,0,0), BV26&lt;TIME(21,0,0)), BV26 + ((N26+0.5)/24),
 IF(AND(N26&gt;10, N26&lt;16.1, BV26&gt;=TIME(7,59,0), BV26&lt;TIME(16,0,0)), BV26 + (N26/24), "")))</f>
        <v/>
      </c>
      <c r="BX26" s="105" t="str">
        <f>IF(ISNUMBER(O26), IF(IsBold(O26), TIME(0,0,0), TIME(8,0,0)), "")</f>
        <v/>
      </c>
      <c r="BY26" s="105" t="str">
        <f>IF(BX26=TIME(0,0,0), BX26 + (O26/24),
 IF(AND(O26&gt;6, O26&lt;10, BX26&gt;=TIME(8,0,0), BX26&lt;TIME(21,0,0)), BX26 + ((O26+0.5)/24),
 IF(AND(O26&gt;10, O26&lt;16.1, BX26&gt;=TIME(7,59,0), BX26&lt;TIME(16,0,0)), BX26 + (O26/24), "")))</f>
        <v/>
      </c>
      <c r="BZ26" s="105" t="str">
        <f>IF(ISNUMBER(P26), IF(IsBold(P26), TIME(0,0,0), TIME(8,0,0)), "")</f>
        <v/>
      </c>
      <c r="CA26" s="105" t="str">
        <f>IF(BZ26=TIME(0,0,0), BZ26 + (P26/24),
 IF(AND(P26&gt;6, P26&lt;10, BZ26&gt;=TIME(8,0,0), BZ26&lt;TIME(21,0,0)), BZ26 + ((P26+0.5)/24),
 IF(AND(P26&gt;10, P26&lt;16.1, BZ26&gt;=TIME(7,59,0), BZ26&lt;TIME(16,0,0)), BZ26 + (P26/24), "")))</f>
        <v/>
      </c>
      <c r="CB26" s="105" t="str">
        <f>IF(ISNUMBER(Q26), IF(IsBold(Q26), TIME(0,0,0), TIME(8,0,0)), "")</f>
        <v/>
      </c>
      <c r="CC26" s="105" t="str">
        <f>IF(CB26=TIME(0,0,0), CB26 + (Q26/24),
 IF(AND(Q26&gt;6, Q26&lt;10, CB26&gt;=TIME(8,0,0), CB26&lt;TIME(21,0,0)), CB26 + ((Q26+0.5)/24),
 IF(AND(Q26&gt;10, Q26&lt;16.1, CB26&gt;=TIME(7,59,0), CB26&lt;TIME(16,0,0)), CB26 + (Q26/24), "")))</f>
        <v/>
      </c>
      <c r="CD26" s="105" t="str">
        <f>IF(ISNUMBER(R26), IF(IsBold(R26), TIME(0,0,0), TIME(8,0,0)), "")</f>
        <v/>
      </c>
      <c r="CE26" s="105" t="str">
        <f>IF(CD26=TIME(0,0,0), CD26 + (R26/24),
 IF(AND(R26&gt;6, R26&lt;10, CD26&gt;=TIME(8,0,0), CD26&lt;TIME(21,0,0)), CD26 + ((R26+0.5)/24),
 IF(AND(R26&gt;10, R26&lt;16.1, CD26&gt;=TIME(7,59,0), CD26&lt;TIME(16,0,0)), CD26 + (R26/24), "")))</f>
        <v/>
      </c>
      <c r="CF26" s="105" t="str">
        <f>IF(ISNUMBER(S26), IF(IsBold(S26), TIME(0,0,0), TIME(8,0,0)), "")</f>
        <v/>
      </c>
      <c r="CG26" s="105" t="str">
        <f>IF(CF26=TIME(0,0,0), CF26 + (S26/24),
 IF(AND(S26&gt;6, S26&lt;10, CF26&gt;=TIME(8,0,0), CF26&lt;TIME(21,0,0)), CF26 + ((S26+0.5)/24),
 IF(AND(S26&gt;10, S26&lt;16.1, CF26&gt;=TIME(7,59,0), CF26&lt;TIME(16,0,0)), CF26 + (S26/24), "")))</f>
        <v/>
      </c>
      <c r="CM26" s="18">
        <f>A26</f>
        <v>16</v>
      </c>
      <c r="CN26" s="107">
        <f>B26</f>
        <v>0</v>
      </c>
      <c r="CO26" s="103">
        <f>C26</f>
        <v>0</v>
      </c>
      <c r="CP26" s="104" t="str">
        <f>IF(ISNUMBER(T26), IF(IsBold(T26), TIME(0,0,0), TIME(8,0,0)), "")</f>
        <v/>
      </c>
      <c r="CQ26" s="105" t="str">
        <f>IF(CP26=TIME(0,0,0), CP26 + (T26/24),
 IF(AND(T26&gt;6, T26&lt;10, CP26&gt;=TIME(8,0,0), CP26&lt;TIME(21,0,0)), CP26 + ((T26+0.5)/24),
 IF(AND(T26&gt;10, T26&lt;16.1, CP26&gt;=TIME(7,59,0), CP26&lt;TIME(16,0,0)), CP26 + (T26/24), "")))</f>
        <v/>
      </c>
      <c r="CR26" s="104" t="str">
        <f>IF(ISNUMBER(U26), IF(IsBold(U26), TIME(0,0,0), TIME(8,0,0)), "")</f>
        <v/>
      </c>
      <c r="CS26" s="105" t="str">
        <f>IF(CR26=TIME(0,0,0), CR26 + (U26/24),
 IF(AND(U26&gt;6, U26&lt;10, CR26&gt;=TIME(8,0,0), CR26&lt;TIME(21,0,0)), CR26 + ((U26+0.5)/24),
 IF(AND(U26&gt;10, U26&lt;16.1, CR26&gt;=TIME(7,59,0), CR26&lt;TIME(16,0,0)), CR26 + (U26/24), "")))</f>
        <v/>
      </c>
      <c r="CT26" s="105" t="str">
        <f>IF(ISNUMBER(V26), IF(IsBold(V26), TIME(0,0,0), TIME(8,0,0)), "")</f>
        <v/>
      </c>
      <c r="CU26" s="105" t="str">
        <f>IF(CT26=TIME(0,0,0), CT26 + (V26/24),
 IF(AND(V26&gt;6, V26&lt;10, CT26&gt;=TIME(8,0,0), CT26&lt;TIME(21,0,0)), CT26 + ((V26+0.5)/24),
 IF(AND(V26&gt;10, V26&lt;16.1, CT26&gt;=TIME(7,59,0), CT26&lt;TIME(16,0,0)), CT26 + (V26/24), "")))</f>
        <v/>
      </c>
      <c r="CV26" s="105" t="str">
        <f>IF(ISNUMBER(W26), IF(IsBold(W26), TIME(0,0,0), TIME(8,0,0)), "")</f>
        <v/>
      </c>
      <c r="CW26" s="105" t="str">
        <f>IF(CV26=TIME(0,0,0), CV26 + (W26/24),
 IF(AND(W26&gt;6, W26&lt;10, CV26&gt;=TIME(8,0,0), CV26&lt;TIME(21,0,0)), CV26 + ((W26+0.5)/24),
 IF(AND(W26&gt;10, W26&lt;16.1, CV26&gt;=TIME(7,59,0), CV26&lt;TIME(16,0,0)), CV26 + (W26/24), "")))</f>
        <v/>
      </c>
      <c r="CX26" s="105" t="str">
        <f>IF(ISNUMBER(X26), IF(IsBold(X26), TIME(0,0,0), TIME(8,0,0)), "")</f>
        <v/>
      </c>
      <c r="CY26" s="105" t="str">
        <f>IF(CX26=TIME(0,0,0), CX26 + (X26/24),
 IF(AND(X26&gt;6, X26&lt;10, CX26&gt;=TIME(8,0,0), CX26&lt;TIME(21,0,0)), CX26 + ((X26+0.5)/24),
 IF(AND(X26&gt;10, X26&lt;16.1, CX26&gt;=TIME(7,59,0), CX26&lt;TIME(16,0,0)), CX26 + (X26/24), "")))</f>
        <v/>
      </c>
      <c r="CZ26" s="105" t="str">
        <f>IF(ISNUMBER(Y26), IF(IsBold(Y26), TIME(0,0,0), TIME(8,0,0)), "")</f>
        <v/>
      </c>
      <c r="DA26" s="105" t="str">
        <f>IF(CZ26=TIME(0,0,0), CZ26 + (Y26/24),
 IF(AND(Y26&gt;6, Y26&lt;10, CZ26&gt;=TIME(8,0,0), CZ26&lt;TIME(21,0,0)), CZ26 + ((Y26+0.5)/24),
 IF(AND(Y26&gt;10, Y26&lt;16.1, CZ26&gt;=TIME(7,59,0), CZ26&lt;TIME(16,0,0)), CZ26 + (Y26/24), "")))</f>
        <v/>
      </c>
      <c r="DB26" s="105" t="str">
        <f>IF(ISNUMBER(Z26), IF(IsBold(Z26), TIME(0,0,0), TIME(8,0,0)), "")</f>
        <v/>
      </c>
      <c r="DC26" s="105" t="str">
        <f>IF(DB26=TIME(0,0,0), DB26 + (Z26/24),
 IF(AND(Z26&gt;6, Z26&lt;10, DB26&gt;=TIME(8,0,0), DB26&lt;TIME(21,0,0)), DB26 + ((Z26+0.5)/24),
 IF(AND(Z26&gt;10, Z26&lt;16.1, DB26&gt;=TIME(7,59,0), DB26&lt;TIME(16,0,0)), DB26 + (Z26/24), "")))</f>
        <v/>
      </c>
      <c r="DD26" s="106" t="str">
        <f>IF(ISNUMBER(AA26), IF(IsBold(AA26), TIME(0,0,0), TIME(8,0,0)), "")</f>
        <v/>
      </c>
      <c r="DE26" s="105" t="str">
        <f>IF(DD26=TIME(0,0,0), DD26 + (AA26/24),
 IF(AND(AA26&gt;6, AA26&lt;10, DD26&gt;=TIME(8,0,0), DD26&lt;TIME(21,0,0)), DD26 + ((AA26+0.5)/24),
 IF(AND(AA26&gt;10, AA26&lt;16.1, DD26&gt;=TIME(7,59,0), DD26&lt;TIME(16,0,0)), DD26 + (AA26/24), "")))</f>
        <v/>
      </c>
      <c r="DF26" s="106" t="str">
        <f>IF(ISNUMBER(AB26), IF(IsBold(AB26), TIME(0,0,0), TIME(8,0,0)), "")</f>
        <v/>
      </c>
      <c r="DG26" s="105" t="str">
        <f>IF(DF26=TIME(0,0,0), DF26 + (AB26/24),
 IF(AND(AB26&gt;6, AB26&lt;10, DF26&gt;=TIME(8,0,0), DF26&lt;TIME(21,0,0)), DF26 + ((AB26+0.5)/24),
 IF(AND(AB26&gt;10, AB26&lt;16.1, DF26&gt;=TIME(7,59,0), DF26&lt;TIME(16,0,0)), DF26 + (AB26/24), "")))</f>
        <v/>
      </c>
      <c r="DH26" s="105" t="str">
        <f>IF(ISNUMBER(AC26), IF(IsBold(AC26), TIME(0,0,0), TIME(8,0,0)), "")</f>
        <v/>
      </c>
      <c r="DI26" s="105" t="str">
        <f>IF(DH26=TIME(0,0,0), DH26 + (AC26/24),
 IF(AND(AC26&gt;6, AC26&lt;10, DH26&gt;=TIME(8,0,0), DH26&lt;TIME(21,0,0)), DH26 + ((AC26+0.5)/24),
 IF(AND(AC26&gt;10, AC26&lt;16.1, DH26&gt;=TIME(7,59,0), DH26&lt;TIME(16,0,0)), DH26 + (AC26/24), "")))</f>
        <v/>
      </c>
      <c r="DJ26" s="105" t="str">
        <f>IF(ISNUMBER(AD26), IF(IsBold(AD26), TIME(0,0,0), TIME(8,0,0)), "")</f>
        <v/>
      </c>
      <c r="DK26" s="105" t="str">
        <f>IF(DJ26=TIME(0,0,0), DJ26 + (AD26/24),
 IF(AND(AD26&gt;6, AD26&lt;10, DJ26&gt;=TIME(8,0,0), DJ26&lt;TIME(21,0,0)), DJ26 + ((AD26+0.5)/24),
 IF(AND(AD26&gt;10, AD26&lt;16.1, DJ26&gt;=TIME(7,59,0), DJ26&lt;TIME(16,0,0)), DJ26 + (AD26/24), "")))</f>
        <v/>
      </c>
      <c r="DL26" s="105" t="str">
        <f>IF(ISNUMBER(AE26), IF(IsBold(AE26), TIME(0,0,0), TIME(8,0,0)), "")</f>
        <v/>
      </c>
      <c r="DM26" s="105" t="str">
        <f>IF(DL26=TIME(0,0,0), DL26 + (AE26/24),
 IF(AND(AE26&gt;6, AE26&lt;10, DL26&gt;=TIME(8,0,0), DL26&lt;TIME(21,0,0)), DL26 + ((AE26+0.5)/24),
 IF(AND(AE26&gt;10, AE26&lt;16.1, DL26&gt;=TIME(7,59,0), DL26&lt;TIME(16,0,0)), DL26 + (AE26/24), "")))</f>
        <v/>
      </c>
      <c r="DN26" s="105" t="str">
        <f>IF(ISNUMBER(AF26), IF(IsBold(AF26), TIME(0,0,0), TIME(8,0,0)), "")</f>
        <v/>
      </c>
      <c r="DO26" s="105" t="str">
        <f>IF(DN26=TIME(0,0,0), DN26 + (AF26/24),
 IF(AND(AF26&gt;6, AF26&lt;10, DN26&gt;=TIME(8,0,0), DN26&lt;TIME(21,0,0)), DN26 + ((AF26+0.5)/24),
 IF(AND(AF26&gt;10, AF26&lt;16.1, DN26&gt;=TIME(7,59,0), DN26&lt;TIME(16,0,0)), DN26 + (AF26/24), "")))</f>
        <v/>
      </c>
      <c r="DP26" s="105" t="str">
        <f>IF(ISNUMBER(AG26), IF(IsBold(AG26), TIME(0,0,0), TIME(8,0,0)), "")</f>
        <v/>
      </c>
      <c r="DQ26" s="105" t="str">
        <f>IF(DP26=TIME(0,0,0), DP26 + (AG26/24),
 IF(AND(AG26&gt;6, AG26&lt;10, DP26&gt;=TIME(8,0,0), DP26&lt;TIME(21,0,0)), DP26 + ((AG26+0.5)/24),
 IF(AND(AG26&gt;10, AG26&lt;16.1, DP26&gt;=TIME(7,59,0), DP26&lt;TIME(16,0,0)), DP26 + (AG26/24), "")))</f>
        <v/>
      </c>
      <c r="DR26" s="105" t="str">
        <f>IF(ISNUMBER(AH26), IF(IsBold(AH26), TIME(0,0,0), TIME(8,0,0)), "")</f>
        <v/>
      </c>
      <c r="DS26" s="105" t="str">
        <f>IF(DR26=TIME(0,0,0), DR26 + (AH26/24),
 IF(AND(AH26&gt;6, AH26&lt;10, DR26&gt;=TIME(8,0,0), DR26&lt;TIME(21,0,0)), DR26 + ((AH26+0.5)/24),
 IF(AND(AH26&gt;10, AH26&lt;16.1, DR26&gt;=TIME(7,59,0), DR26&lt;TIME(16,0,0)), DR26 + (AH26/24), "")))</f>
        <v/>
      </c>
      <c r="DT26" s="105" t="str">
        <f>IF(ISNUMBER(AI26), IF(IsBold(AI26), TIME(0,0,0), TIME(8,0,0)), "")</f>
        <v/>
      </c>
      <c r="DU26" s="105" t="str">
        <f>IF(DT26=TIME(0,0,0), DT26 + (AI26/24),
 IF(AND(AI26&gt;6, AI26&lt;10, DT26&gt;=TIME(8,0,0), DT26&lt;TIME(21,0,0)), DT26 + ((AI26+0.5)/24),
 IF(AND(AI26&gt;10, AI26&lt;16.1, DT26&gt;=TIME(7,59,0), DT26&lt;TIME(16,0,0)), DT26 + (AI26/24), "")))</f>
        <v/>
      </c>
      <c r="DV26" s="110">
        <f t="shared" si="2"/>
        <v>0</v>
      </c>
    </row>
    <row r="27" spans="1:126" ht="15" thickBot="1" x14ac:dyDescent="0.35">
      <c r="A27" s="12">
        <v>17</v>
      </c>
      <c r="B27" s="76"/>
      <c r="C27" s="77"/>
      <c r="D27" s="78"/>
      <c r="E27" s="74"/>
      <c r="F27" s="82"/>
      <c r="G27" s="83"/>
      <c r="H27" s="84"/>
      <c r="I27" s="82"/>
      <c r="J27" s="82"/>
      <c r="K27" s="83"/>
      <c r="L27" s="84"/>
      <c r="M27" s="82"/>
      <c r="N27" s="82"/>
      <c r="O27" s="83"/>
      <c r="P27" s="84"/>
      <c r="Q27" s="82"/>
      <c r="R27" s="82"/>
      <c r="S27" s="83"/>
      <c r="T27" s="84"/>
      <c r="U27" s="82"/>
      <c r="V27" s="82"/>
      <c r="W27" s="83"/>
      <c r="X27" s="84"/>
      <c r="Y27" s="82"/>
      <c r="Z27" s="82"/>
      <c r="AA27" s="83"/>
      <c r="AB27" s="84"/>
      <c r="AC27" s="82"/>
      <c r="AD27" s="82"/>
      <c r="AE27" s="83"/>
      <c r="AF27" s="84"/>
      <c r="AG27" s="74"/>
      <c r="AH27" s="74"/>
      <c r="AI27" s="74"/>
      <c r="AJ27" s="90">
        <f>COUNTIFS(E27:AI27,"&gt;0", E27:AI27,"&lt;&gt;"&amp;"")</f>
        <v>0</v>
      </c>
      <c r="AK27" s="91">
        <f>COUNTIF(E27:AI27, "ВП")</f>
        <v>0</v>
      </c>
      <c r="AL27" s="95">
        <f>COUNTIF(E27:AI27, "ВД")</f>
        <v>0</v>
      </c>
      <c r="AM27" s="91">
        <f>SumBoldNumbers(E27:AI27)</f>
        <v>0</v>
      </c>
      <c r="AN27" s="91">
        <f>SUM(CountWeekendDays(E10)+COUNTIF(E27:AI27,"С"))</f>
        <v>9</v>
      </c>
      <c r="AO27" s="96">
        <f>SUM(E27:AI27)</f>
        <v>0</v>
      </c>
      <c r="AP27" s="93">
        <f>(DAY(EOMONTH(E10, 0)) - AN27 - AK27) * AU27  * D27</f>
        <v>0</v>
      </c>
      <c r="AQ27" s="94">
        <f t="shared" si="6"/>
        <v>0</v>
      </c>
      <c r="AR27" s="101" t="e">
        <f t="shared" si="3"/>
        <v>#DIV/0!</v>
      </c>
      <c r="AU27" s="29">
        <f>IF(C27="вихователь", 6, IF(C27="каштелян", 8, IF(C27="буфетниця", 8, IF(C27="молодша м/с", 8, IF(C27="сестр. госп.", 8, 7.7)))))</f>
        <v>7.7</v>
      </c>
      <c r="BA27" s="18">
        <f>A27</f>
        <v>17</v>
      </c>
      <c r="BB27" s="107">
        <f>B27</f>
        <v>0</v>
      </c>
      <c r="BC27" s="103">
        <f>C27</f>
        <v>0</v>
      </c>
      <c r="BD27" s="104" t="str">
        <f>IF(ISNUMBER(E27), IF(IsBold(E27), TIME(0,0,0), TIME(8,0,0)), "")</f>
        <v/>
      </c>
      <c r="BE27" s="105" t="str">
        <f>IF(BD27=TIME(0,0,0), BD27 + (E27/24),
 IF(AND(E27&gt;6, E27&lt;10, BD27&gt;=TIME(8,0,0), BD27&lt;TIME(21,0,0)), BD27 + ((E27+0.5)/24),
 IF(AND(E27&gt;10, E27&lt;16.1, BD27&gt;=TIME(7,59,0), BD27&lt;TIME(16,0,0)), BD27 + (E27/24), "")))</f>
        <v/>
      </c>
      <c r="BF27" s="105" t="str">
        <f>IF(ISNUMBER(F27), IF(IsBold(F27), TIME(0,0,0), TIME(8,0,0)), "")</f>
        <v/>
      </c>
      <c r="BG27" s="105" t="str">
        <f>IF(BF27=TIME(0,0,0), BF27 + (F27/24),
 IF(AND(F27&gt;6, F27&lt;10, BF27&gt;=TIME(8,0,0), BF27&lt;TIME(21,0,0)), BF27 + ((F27+0.5)/24),
 IF(AND(F27&gt;10, F27&lt;16.1, BF27&gt;=TIME(7,59,0), BF27&lt;TIME(16,0,0)), BF27 + (F27/24), "")))</f>
        <v/>
      </c>
      <c r="BH27" s="105" t="str">
        <f>IF(ISNUMBER(G27), IF(IsBold(G27), TIME(0,0,0), TIME(8,0,0)), "")</f>
        <v/>
      </c>
      <c r="BI27" s="105" t="str">
        <f>IF(BH27=TIME(0,0,0), BH27 + (G27/24),
 IF(AND(G27&gt;6, G27&lt;10, BH27&gt;=TIME(8,0,0), BH27&lt;TIME(21,0,0)), BH27 + ((G27+0.5)/24),
 IF(AND(G27&gt;10, G27&lt;16.1, BH27&gt;=TIME(7,59,0), BH27&lt;TIME(16,0,0)), BH27 + (G27/24), "")))</f>
        <v/>
      </c>
      <c r="BJ27" s="105" t="str">
        <f>IF(ISNUMBER(H27), IF(IsBold(H27), TIME(0,0,0), TIME(8,0,0)), "")</f>
        <v/>
      </c>
      <c r="BK27" s="105" t="str">
        <f>IF(BJ27=TIME(0,0,0), BJ27 + (H27/24),
 IF(AND(H27&gt;6, H27&lt;10, BJ27&gt;=TIME(8,0,0), BJ27&lt;TIME(21,0,0)), BJ27 + ((H27+0.5)/24),
 IF(AND(H27&gt;10, H27&lt;16.1, BJ27&gt;=TIME(7,59,0), BJ27&lt;TIME(16,0,0)), BJ27 + (H27/24), "")))</f>
        <v/>
      </c>
      <c r="BL27" s="105" t="str">
        <f>IF(ISNUMBER(I27), IF(IsBold(I27), TIME(0,0,0), TIME(8,0,0)), "")</f>
        <v/>
      </c>
      <c r="BM27" s="105" t="str">
        <f>IF(BL27=TIME(0,0,0), BL27 + (I27/24),
 IF(AND(I27&gt;6, I27&lt;10, BL27&gt;=TIME(8,0,0), BL27&lt;TIME(21,0,0)), BL27 + ((I27+0.5)/24),
 IF(AND(I27&gt;10, I27&lt;16.1, BL27&gt;=TIME(7,59,0), BL27&lt;TIME(16,0,0)), BL27 + (I27/24), "")))</f>
        <v/>
      </c>
      <c r="BN27" s="105" t="str">
        <f>IF(ISNUMBER(J27), IF(IsBold(J27), TIME(0,0,0), TIME(8,0,0)), "")</f>
        <v/>
      </c>
      <c r="BO27" s="105" t="str">
        <f>IF(BN27=TIME(0,0,0), BN27 + (J27/24),
 IF(AND(J27&gt;6, J27&lt;10, BN27&gt;=TIME(8,0,0), BN27&lt;TIME(21,0,0)), BN27 + ((J27+0.5)/24),
 IF(AND(J27&gt;10, J27&lt;16.1, BN27&gt;=TIME(7,59,0), BN27&lt;TIME(16,0,0)), BN27 + (J27/24), "")))</f>
        <v/>
      </c>
      <c r="BP27" s="105" t="str">
        <f>IF(ISNUMBER(K27), IF(IsBold(K27), TIME(0,0,0), TIME(8,0,0)), "")</f>
        <v/>
      </c>
      <c r="BQ27" s="105" t="str">
        <f>IF(BP27=TIME(0,0,0), BP27 + (K27/24),
 IF(AND(K27&gt;6, K27&lt;10, BP27&gt;=TIME(8,0,0), BP27&lt;TIME(21,0,0)), BP27 + ((K27+0.5)/24),
 IF(AND(K27&gt;10, K27&lt;16.1, BP27&gt;=TIME(7,59,0), BP27&lt;TIME(16,0,0)), BP27 + (K27/24), "")))</f>
        <v/>
      </c>
      <c r="BR27" s="106" t="str">
        <f>IF(ISNUMBER(L27), IF(IsBold(L27), TIME(0,0,0), TIME(8,0,0)), "")</f>
        <v/>
      </c>
      <c r="BS27" s="105" t="str">
        <f>IF(BR27=TIME(0,0,0), BR27 + (L27/24),
 IF(AND(L27&gt;6, L27&lt;10, BR27&gt;=TIME(8,0,0), BR27&lt;TIME(21,0,0)), BR27 + ((L27+0.5)/24),
 IF(AND(L27&gt;10, L27&lt;16.1, BR27&gt;=TIME(7,59,0), BR27&lt;TIME(16,0,0)), BR27 + (L27/24), "")))</f>
        <v/>
      </c>
      <c r="BT27" s="106" t="str">
        <f>IF(ISNUMBER(M27), IF(IsBold(M27), TIME(0,0,0), TIME(8,0,0)), "")</f>
        <v/>
      </c>
      <c r="BU27" s="105" t="str">
        <f>IF(BT27=TIME(0,0,0), BT27 + (M27/24),
 IF(AND(M27&gt;6, M27&lt;10, BT27&gt;=TIME(8,0,0), BT27&lt;TIME(21,0,0)), BT27 + ((M27+0.5)/24),
 IF(AND(M27&gt;10, M27&lt;16.1, BT27&gt;=TIME(7,59,0), BT27&lt;TIME(16,0,0)), BT27 + (M27/24), "")))</f>
        <v/>
      </c>
      <c r="BV27" s="105" t="str">
        <f>IF(ISNUMBER(N27), IF(IsBold(N27), TIME(0,0,0), TIME(8,0,0)), "")</f>
        <v/>
      </c>
      <c r="BW27" s="105" t="str">
        <f>IF(BV27=TIME(0,0,0), BV27 + (N27/24),
 IF(AND(N27&gt;6, N27&lt;10, BV27&gt;=TIME(8,0,0), BV27&lt;TIME(21,0,0)), BV27 + ((N27+0.5)/24),
 IF(AND(N27&gt;10, N27&lt;16.1, BV27&gt;=TIME(7,59,0), BV27&lt;TIME(16,0,0)), BV27 + (N27/24), "")))</f>
        <v/>
      </c>
      <c r="BX27" s="105" t="str">
        <f>IF(ISNUMBER(O27), IF(IsBold(O27), TIME(0,0,0), TIME(8,0,0)), "")</f>
        <v/>
      </c>
      <c r="BY27" s="105" t="str">
        <f>IF(BX27=TIME(0,0,0), BX27 + (O27/24),
 IF(AND(O27&gt;6, O27&lt;10, BX27&gt;=TIME(8,0,0), BX27&lt;TIME(21,0,0)), BX27 + ((O27+0.5)/24),
 IF(AND(O27&gt;10, O27&lt;16.1, BX27&gt;=TIME(7,59,0), BX27&lt;TIME(16,0,0)), BX27 + (O27/24), "")))</f>
        <v/>
      </c>
      <c r="BZ27" s="105" t="str">
        <f>IF(ISNUMBER(P27), IF(IsBold(P27), TIME(0,0,0), TIME(8,0,0)), "")</f>
        <v/>
      </c>
      <c r="CA27" s="105" t="str">
        <f>IF(BZ27=TIME(0,0,0), BZ27 + (P27/24),
 IF(AND(P27&gt;6, P27&lt;10, BZ27&gt;=TIME(8,0,0), BZ27&lt;TIME(21,0,0)), BZ27 + ((P27+0.5)/24),
 IF(AND(P27&gt;10, P27&lt;16.1, BZ27&gt;=TIME(7,59,0), BZ27&lt;TIME(16,0,0)), BZ27 + (P27/24), "")))</f>
        <v/>
      </c>
      <c r="CB27" s="105" t="str">
        <f>IF(ISNUMBER(Q27), IF(IsBold(Q27), TIME(0,0,0), TIME(8,0,0)), "")</f>
        <v/>
      </c>
      <c r="CC27" s="105" t="str">
        <f>IF(CB27=TIME(0,0,0), CB27 + (Q27/24),
 IF(AND(Q27&gt;6, Q27&lt;10, CB27&gt;=TIME(8,0,0), CB27&lt;TIME(21,0,0)), CB27 + ((Q27+0.5)/24),
 IF(AND(Q27&gt;10, Q27&lt;16.1, CB27&gt;=TIME(7,59,0), CB27&lt;TIME(16,0,0)), CB27 + (Q27/24), "")))</f>
        <v/>
      </c>
      <c r="CD27" s="105" t="str">
        <f>IF(ISNUMBER(R27), IF(IsBold(R27), TIME(0,0,0), TIME(8,0,0)), "")</f>
        <v/>
      </c>
      <c r="CE27" s="105" t="str">
        <f>IF(CD27=TIME(0,0,0), CD27 + (R27/24),
 IF(AND(R27&gt;6, R27&lt;10, CD27&gt;=TIME(8,0,0), CD27&lt;TIME(21,0,0)), CD27 + ((R27+0.5)/24),
 IF(AND(R27&gt;10, R27&lt;16.1, CD27&gt;=TIME(7,59,0), CD27&lt;TIME(16,0,0)), CD27 + (R27/24), "")))</f>
        <v/>
      </c>
      <c r="CF27" s="105" t="str">
        <f>IF(ISNUMBER(S27), IF(IsBold(S27), TIME(0,0,0), TIME(8,0,0)), "")</f>
        <v/>
      </c>
      <c r="CG27" s="105" t="str">
        <f>IF(CF27=TIME(0,0,0), CF27 + (S27/24),
 IF(AND(S27&gt;6, S27&lt;10, CF27&gt;=TIME(8,0,0), CF27&lt;TIME(21,0,0)), CF27 + ((S27+0.5)/24),
 IF(AND(S27&gt;10, S27&lt;16.1, CF27&gt;=TIME(7,59,0), CF27&lt;TIME(16,0,0)), CF27 + (S27/24), "")))</f>
        <v/>
      </c>
      <c r="CM27" s="18">
        <f>A27</f>
        <v>17</v>
      </c>
      <c r="CN27" s="107">
        <f>B27</f>
        <v>0</v>
      </c>
      <c r="CO27" s="103">
        <f>C27</f>
        <v>0</v>
      </c>
      <c r="CP27" s="104" t="str">
        <f>IF(ISNUMBER(T27), IF(IsBold(T27), TIME(0,0,0), TIME(8,0,0)), "")</f>
        <v/>
      </c>
      <c r="CQ27" s="105" t="str">
        <f>IF(CP27=TIME(0,0,0), CP27 + (T27/24),
 IF(AND(T27&gt;6, T27&lt;10, CP27&gt;=TIME(8,0,0), CP27&lt;TIME(21,0,0)), CP27 + ((T27+0.5)/24),
 IF(AND(T27&gt;10, T27&lt;16.1, CP27&gt;=TIME(7,59,0), CP27&lt;TIME(16,0,0)), CP27 + (T27/24), "")))</f>
        <v/>
      </c>
      <c r="CR27" s="104" t="str">
        <f>IF(ISNUMBER(U27), IF(IsBold(U27), TIME(0,0,0), TIME(8,0,0)), "")</f>
        <v/>
      </c>
      <c r="CS27" s="105" t="str">
        <f>IF(CR27=TIME(0,0,0), CR27 + (U27/24),
 IF(AND(U27&gt;6, U27&lt;10, CR27&gt;=TIME(8,0,0), CR27&lt;TIME(21,0,0)), CR27 + ((U27+0.5)/24),
 IF(AND(U27&gt;10, U27&lt;16.1, CR27&gt;=TIME(7,59,0), CR27&lt;TIME(16,0,0)), CR27 + (U27/24), "")))</f>
        <v/>
      </c>
      <c r="CT27" s="105" t="str">
        <f>IF(ISNUMBER(V27), IF(IsBold(V27), TIME(0,0,0), TIME(8,0,0)), "")</f>
        <v/>
      </c>
      <c r="CU27" s="105" t="str">
        <f>IF(CT27=TIME(0,0,0), CT27 + (V27/24),
 IF(AND(V27&gt;6, V27&lt;10, CT27&gt;=TIME(8,0,0), CT27&lt;TIME(21,0,0)), CT27 + ((V27+0.5)/24),
 IF(AND(V27&gt;10, V27&lt;16.1, CT27&gt;=TIME(7,59,0), CT27&lt;TIME(16,0,0)), CT27 + (V27/24), "")))</f>
        <v/>
      </c>
      <c r="CV27" s="105" t="str">
        <f>IF(ISNUMBER(W27), IF(IsBold(W27), TIME(0,0,0), TIME(8,0,0)), "")</f>
        <v/>
      </c>
      <c r="CW27" s="105" t="str">
        <f>IF(CV27=TIME(0,0,0), CV27 + (W27/24),
 IF(AND(W27&gt;6, W27&lt;10, CV27&gt;=TIME(8,0,0), CV27&lt;TIME(21,0,0)), CV27 + ((W27+0.5)/24),
 IF(AND(W27&gt;10, W27&lt;16.1, CV27&gt;=TIME(7,59,0), CV27&lt;TIME(16,0,0)), CV27 + (W27/24), "")))</f>
        <v/>
      </c>
      <c r="CX27" s="105" t="str">
        <f>IF(ISNUMBER(X27), IF(IsBold(X27), TIME(0,0,0), TIME(8,0,0)), "")</f>
        <v/>
      </c>
      <c r="CY27" s="105" t="str">
        <f>IF(CX27=TIME(0,0,0), CX27 + (X27/24),
 IF(AND(X27&gt;6, X27&lt;10, CX27&gt;=TIME(8,0,0), CX27&lt;TIME(21,0,0)), CX27 + ((X27+0.5)/24),
 IF(AND(X27&gt;10, X27&lt;16.1, CX27&gt;=TIME(7,59,0), CX27&lt;TIME(16,0,0)), CX27 + (X27/24), "")))</f>
        <v/>
      </c>
      <c r="CZ27" s="105" t="str">
        <f>IF(ISNUMBER(Y27), IF(IsBold(Y27), TIME(0,0,0), TIME(8,0,0)), "")</f>
        <v/>
      </c>
      <c r="DA27" s="105" t="str">
        <f>IF(CZ27=TIME(0,0,0), CZ27 + (Y27/24),
 IF(AND(Y27&gt;6, Y27&lt;10, CZ27&gt;=TIME(8,0,0), CZ27&lt;TIME(21,0,0)), CZ27 + ((Y27+0.5)/24),
 IF(AND(Y27&gt;10, Y27&lt;16.1, CZ27&gt;=TIME(7,59,0), CZ27&lt;TIME(16,0,0)), CZ27 + (Y27/24), "")))</f>
        <v/>
      </c>
      <c r="DB27" s="105" t="str">
        <f>IF(ISNUMBER(Z27), IF(IsBold(Z27), TIME(0,0,0), TIME(8,0,0)), "")</f>
        <v/>
      </c>
      <c r="DC27" s="105" t="str">
        <f>IF(DB27=TIME(0,0,0), DB27 + (Z27/24),
 IF(AND(Z27&gt;6, Z27&lt;10, DB27&gt;=TIME(8,0,0), DB27&lt;TIME(21,0,0)), DB27 + ((Z27+0.5)/24),
 IF(AND(Z27&gt;10, Z27&lt;16.1, DB27&gt;=TIME(7,59,0), DB27&lt;TIME(16,0,0)), DB27 + (Z27/24), "")))</f>
        <v/>
      </c>
      <c r="DD27" s="106" t="str">
        <f>IF(ISNUMBER(AA27), IF(IsBold(AA27), TIME(0,0,0), TIME(8,0,0)), "")</f>
        <v/>
      </c>
      <c r="DE27" s="105" t="str">
        <f>IF(DD27=TIME(0,0,0), DD27 + (AA27/24),
 IF(AND(AA27&gt;6, AA27&lt;10, DD27&gt;=TIME(8,0,0), DD27&lt;TIME(21,0,0)), DD27 + ((AA27+0.5)/24),
 IF(AND(AA27&gt;10, AA27&lt;16.1, DD27&gt;=TIME(7,59,0), DD27&lt;TIME(16,0,0)), DD27 + (AA27/24), "")))</f>
        <v/>
      </c>
      <c r="DF27" s="106" t="str">
        <f>IF(ISNUMBER(AB27), IF(IsBold(AB27), TIME(0,0,0), TIME(8,0,0)), "")</f>
        <v/>
      </c>
      <c r="DG27" s="105" t="str">
        <f>IF(DF27=TIME(0,0,0), DF27 + (AB27/24),
 IF(AND(AB27&gt;6, AB27&lt;10, DF27&gt;=TIME(8,0,0), DF27&lt;TIME(21,0,0)), DF27 + ((AB27+0.5)/24),
 IF(AND(AB27&gt;10, AB27&lt;16.1, DF27&gt;=TIME(7,59,0), DF27&lt;TIME(16,0,0)), DF27 + (AB27/24), "")))</f>
        <v/>
      </c>
      <c r="DH27" s="105" t="str">
        <f>IF(ISNUMBER(AC27), IF(IsBold(AC27), TIME(0,0,0), TIME(8,0,0)), "")</f>
        <v/>
      </c>
      <c r="DI27" s="105" t="str">
        <f>IF(DH27=TIME(0,0,0), DH27 + (AC27/24),
 IF(AND(AC27&gt;6, AC27&lt;10, DH27&gt;=TIME(8,0,0), DH27&lt;TIME(21,0,0)), DH27 + ((AC27+0.5)/24),
 IF(AND(AC27&gt;10, AC27&lt;16.1, DH27&gt;=TIME(7,59,0), DH27&lt;TIME(16,0,0)), DH27 + (AC27/24), "")))</f>
        <v/>
      </c>
      <c r="DJ27" s="105" t="str">
        <f>IF(ISNUMBER(AD27), IF(IsBold(AD27), TIME(0,0,0), TIME(8,0,0)), "")</f>
        <v/>
      </c>
      <c r="DK27" s="105" t="str">
        <f>IF(DJ27=TIME(0,0,0), DJ27 + (AD27/24),
 IF(AND(AD27&gt;6, AD27&lt;10, DJ27&gt;=TIME(8,0,0), DJ27&lt;TIME(21,0,0)), DJ27 + ((AD27+0.5)/24),
 IF(AND(AD27&gt;10, AD27&lt;16.1, DJ27&gt;=TIME(7,59,0), DJ27&lt;TIME(16,0,0)), DJ27 + (AD27/24), "")))</f>
        <v/>
      </c>
      <c r="DL27" s="105" t="str">
        <f>IF(ISNUMBER(AE27), IF(IsBold(AE27), TIME(0,0,0), TIME(8,0,0)), "")</f>
        <v/>
      </c>
      <c r="DM27" s="105" t="str">
        <f>IF(DL27=TIME(0,0,0), DL27 + (AE27/24),
 IF(AND(AE27&gt;6, AE27&lt;10, DL27&gt;=TIME(8,0,0), DL27&lt;TIME(21,0,0)), DL27 + ((AE27+0.5)/24),
 IF(AND(AE27&gt;10, AE27&lt;16.1, DL27&gt;=TIME(7,59,0), DL27&lt;TIME(16,0,0)), DL27 + (AE27/24), "")))</f>
        <v/>
      </c>
      <c r="DN27" s="105" t="str">
        <f>IF(ISNUMBER(AF27), IF(IsBold(AF27), TIME(0,0,0), TIME(8,0,0)), "")</f>
        <v/>
      </c>
      <c r="DO27" s="105" t="str">
        <f>IF(DN27=TIME(0,0,0), DN27 + (AF27/24),
 IF(AND(AF27&gt;6, AF27&lt;10, DN27&gt;=TIME(8,0,0), DN27&lt;TIME(21,0,0)), DN27 + ((AF27+0.5)/24),
 IF(AND(AF27&gt;10, AF27&lt;16.1, DN27&gt;=TIME(7,59,0), DN27&lt;TIME(16,0,0)), DN27 + (AF27/24), "")))</f>
        <v/>
      </c>
      <c r="DP27" s="105" t="str">
        <f>IF(ISNUMBER(AG27), IF(IsBold(AG27), TIME(0,0,0), TIME(8,0,0)), "")</f>
        <v/>
      </c>
      <c r="DQ27" s="105" t="str">
        <f>IF(DP27=TIME(0,0,0), DP27 + (AG27/24),
 IF(AND(AG27&gt;6, AG27&lt;10, DP27&gt;=TIME(8,0,0), DP27&lt;TIME(21,0,0)), DP27 + ((AG27+0.5)/24),
 IF(AND(AG27&gt;10, AG27&lt;16.1, DP27&gt;=TIME(7,59,0), DP27&lt;TIME(16,0,0)), DP27 + (AG27/24), "")))</f>
        <v/>
      </c>
      <c r="DR27" s="105" t="str">
        <f>IF(ISNUMBER(AH27), IF(IsBold(AH27), TIME(0,0,0), TIME(8,0,0)), "")</f>
        <v/>
      </c>
      <c r="DS27" s="105" t="str">
        <f>IF(DR27=TIME(0,0,0), DR27 + (AH27/24),
 IF(AND(AH27&gt;6, AH27&lt;10, DR27&gt;=TIME(8,0,0), DR27&lt;TIME(21,0,0)), DR27 + ((AH27+0.5)/24),
 IF(AND(AH27&gt;10, AH27&lt;16.1, DR27&gt;=TIME(7,59,0), DR27&lt;TIME(16,0,0)), DR27 + (AH27/24), "")))</f>
        <v/>
      </c>
      <c r="DT27" s="105" t="str">
        <f>IF(ISNUMBER(AI27), IF(IsBold(AI27), TIME(0,0,0), TIME(8,0,0)), "")</f>
        <v/>
      </c>
      <c r="DU27" s="105" t="str">
        <f>IF(DT27=TIME(0,0,0), DT27 + (AI27/24),
 IF(AND(AI27&gt;6, AI27&lt;10, DT27&gt;=TIME(8,0,0), DT27&lt;TIME(21,0,0)), DT27 + ((AI27+0.5)/24),
 IF(AND(AI27&gt;10, AI27&lt;16.1, DT27&gt;=TIME(7,59,0), DT27&lt;TIME(16,0,0)), DT27 + (AI27/24), "")))</f>
        <v/>
      </c>
      <c r="DV27" s="110">
        <f t="shared" si="2"/>
        <v>0</v>
      </c>
    </row>
    <row r="28" spans="1:126" ht="15" thickBot="1" x14ac:dyDescent="0.35">
      <c r="A28" s="13">
        <v>18</v>
      </c>
      <c r="B28" s="76"/>
      <c r="C28" s="77"/>
      <c r="D28" s="78"/>
      <c r="E28" s="74"/>
      <c r="F28" s="82"/>
      <c r="G28" s="83"/>
      <c r="H28" s="84"/>
      <c r="I28" s="82"/>
      <c r="J28" s="82"/>
      <c r="K28" s="83"/>
      <c r="L28" s="84"/>
      <c r="M28" s="82"/>
      <c r="N28" s="82"/>
      <c r="O28" s="83"/>
      <c r="P28" s="84"/>
      <c r="Q28" s="82"/>
      <c r="R28" s="82"/>
      <c r="S28" s="83"/>
      <c r="T28" s="84"/>
      <c r="U28" s="82"/>
      <c r="V28" s="82"/>
      <c r="W28" s="83"/>
      <c r="X28" s="84"/>
      <c r="Y28" s="82"/>
      <c r="Z28" s="82"/>
      <c r="AA28" s="83"/>
      <c r="AB28" s="84"/>
      <c r="AC28" s="82"/>
      <c r="AD28" s="82"/>
      <c r="AE28" s="83"/>
      <c r="AF28" s="84"/>
      <c r="AG28" s="74"/>
      <c r="AH28" s="74"/>
      <c r="AI28" s="74"/>
      <c r="AJ28" s="90">
        <f>COUNTIFS(E28:AI28,"&gt;0", E28:AI28,"&lt;&gt;"&amp;"")</f>
        <v>0</v>
      </c>
      <c r="AK28" s="91">
        <f>COUNTIF(E28:AI28, "ВП")</f>
        <v>0</v>
      </c>
      <c r="AL28" s="95">
        <f>COUNTIF(E28:AI28, "ВД")</f>
        <v>0</v>
      </c>
      <c r="AM28" s="91">
        <f>SumBoldNumbers(E28:AI28)</f>
        <v>0</v>
      </c>
      <c r="AN28" s="91">
        <f>SUM(CountWeekendDays(E10)+COUNTIF(E28:AI28,"С"))</f>
        <v>9</v>
      </c>
      <c r="AO28" s="96">
        <f>SUM(E28:AI28)</f>
        <v>0</v>
      </c>
      <c r="AP28" s="93">
        <f>(DAY(EOMONTH(E10, 0)) - AN28 - AK28) * AU28  * D28</f>
        <v>0</v>
      </c>
      <c r="AQ28" s="94">
        <f t="shared" si="6"/>
        <v>0</v>
      </c>
      <c r="AR28" s="101" t="e">
        <f t="shared" si="3"/>
        <v>#DIV/0!</v>
      </c>
      <c r="AU28" s="29">
        <f>IF(C28="вихователь", 6, IF(C28="каштелян", 8, IF(C28="буфетниця", 8, IF(C28="молодша м/с", 8, IF(C28="сестр. госп.", 8, 7.7)))))</f>
        <v>7.7</v>
      </c>
      <c r="BA28" s="18">
        <f>A28</f>
        <v>18</v>
      </c>
      <c r="BB28" s="107">
        <f>B28</f>
        <v>0</v>
      </c>
      <c r="BC28" s="103">
        <f>C28</f>
        <v>0</v>
      </c>
      <c r="BD28" s="104" t="str">
        <f>IF(ISNUMBER(E28), IF(IsBold(E28), TIME(0,0,0), TIME(8,0,0)), "")</f>
        <v/>
      </c>
      <c r="BE28" s="105" t="str">
        <f>IF(BD28=TIME(0,0,0), BD28 + (E28/24),
 IF(AND(E28&gt;6, E28&lt;10, BD28&gt;=TIME(8,0,0), BD28&lt;TIME(21,0,0)), BD28 + ((E28+0.5)/24),
 IF(AND(E28&gt;10, E28&lt;16.1, BD28&gt;=TIME(7,59,0), BD28&lt;TIME(16,0,0)), BD28 + (E28/24), "")))</f>
        <v/>
      </c>
      <c r="BF28" s="105" t="str">
        <f>IF(ISNUMBER(F28), IF(IsBold(F28), TIME(0,0,0), TIME(8,0,0)), "")</f>
        <v/>
      </c>
      <c r="BG28" s="105" t="str">
        <f>IF(BF28=TIME(0,0,0), BF28 + (F28/24),
 IF(AND(F28&gt;6, F28&lt;10, BF28&gt;=TIME(8,0,0), BF28&lt;TIME(21,0,0)), BF28 + ((F28+0.5)/24),
 IF(AND(F28&gt;10, F28&lt;16.1, BF28&gt;=TIME(7,59,0), BF28&lt;TIME(16,0,0)), BF28 + (F28/24), "")))</f>
        <v/>
      </c>
      <c r="BH28" s="105" t="str">
        <f>IF(ISNUMBER(G28), IF(IsBold(G28), TIME(0,0,0), TIME(8,0,0)), "")</f>
        <v/>
      </c>
      <c r="BI28" s="105" t="str">
        <f>IF(BH28=TIME(0,0,0), BH28 + (G28/24),
 IF(AND(G28&gt;6, G28&lt;10, BH28&gt;=TIME(8,0,0), BH28&lt;TIME(21,0,0)), BH28 + ((G28+0.5)/24),
 IF(AND(G28&gt;10, G28&lt;16.1, BH28&gt;=TIME(7,59,0), BH28&lt;TIME(16,0,0)), BH28 + (G28/24), "")))</f>
        <v/>
      </c>
      <c r="BJ28" s="105" t="str">
        <f>IF(ISNUMBER(H28), IF(IsBold(H28), TIME(0,0,0), TIME(8,0,0)), "")</f>
        <v/>
      </c>
      <c r="BK28" s="105" t="str">
        <f>IF(BJ28=TIME(0,0,0), BJ28 + (H28/24),
 IF(AND(H28&gt;6, H28&lt;10, BJ28&gt;=TIME(8,0,0), BJ28&lt;TIME(21,0,0)), BJ28 + ((H28+0.5)/24),
 IF(AND(H28&gt;10, H28&lt;16.1, BJ28&gt;=TIME(7,59,0), BJ28&lt;TIME(16,0,0)), BJ28 + (H28/24), "")))</f>
        <v/>
      </c>
      <c r="BL28" s="105" t="str">
        <f>IF(ISNUMBER(I28), IF(IsBold(I28), TIME(0,0,0), TIME(8,0,0)), "")</f>
        <v/>
      </c>
      <c r="BM28" s="105" t="str">
        <f>IF(BL28=TIME(0,0,0), BL28 + (I28/24),
 IF(AND(I28&gt;6, I28&lt;10, BL28&gt;=TIME(8,0,0), BL28&lt;TIME(21,0,0)), BL28 + ((I28+0.5)/24),
 IF(AND(I28&gt;10, I28&lt;16.1, BL28&gt;=TIME(7,59,0), BL28&lt;TIME(16,0,0)), BL28 + (I28/24), "")))</f>
        <v/>
      </c>
      <c r="BN28" s="105" t="str">
        <f>IF(ISNUMBER(J28), IF(IsBold(J28), TIME(0,0,0), TIME(8,0,0)), "")</f>
        <v/>
      </c>
      <c r="BO28" s="105" t="str">
        <f>IF(BN28=TIME(0,0,0), BN28 + (J28/24),
 IF(AND(J28&gt;6, J28&lt;10, BN28&gt;=TIME(8,0,0), BN28&lt;TIME(21,0,0)), BN28 + ((J28+0.5)/24),
 IF(AND(J28&gt;10, J28&lt;16.1, BN28&gt;=TIME(7,59,0), BN28&lt;TIME(16,0,0)), BN28 + (J28/24), "")))</f>
        <v/>
      </c>
      <c r="BP28" s="105" t="str">
        <f>IF(ISNUMBER(K28), IF(IsBold(K28), TIME(0,0,0), TIME(8,0,0)), "")</f>
        <v/>
      </c>
      <c r="BQ28" s="105" t="str">
        <f>IF(BP28=TIME(0,0,0), BP28 + (K28/24),
 IF(AND(K28&gt;6, K28&lt;10, BP28&gt;=TIME(8,0,0), BP28&lt;TIME(21,0,0)), BP28 + ((K28+0.5)/24),
 IF(AND(K28&gt;10, K28&lt;16.1, BP28&gt;=TIME(7,59,0), BP28&lt;TIME(16,0,0)), BP28 + (K28/24), "")))</f>
        <v/>
      </c>
      <c r="BR28" s="106" t="str">
        <f>IF(ISNUMBER(L28), IF(IsBold(L28), TIME(0,0,0), TIME(8,0,0)), "")</f>
        <v/>
      </c>
      <c r="BS28" s="105" t="str">
        <f>IF(BR28=TIME(0,0,0), BR28 + (L28/24),
 IF(AND(L28&gt;6, L28&lt;10, BR28&gt;=TIME(8,0,0), BR28&lt;TIME(21,0,0)), BR28 + ((L28+0.5)/24),
 IF(AND(L28&gt;10, L28&lt;16.1, BR28&gt;=TIME(7,59,0), BR28&lt;TIME(16,0,0)), BR28 + (L28/24), "")))</f>
        <v/>
      </c>
      <c r="BT28" s="106" t="str">
        <f>IF(ISNUMBER(M28), IF(IsBold(M28), TIME(0,0,0), TIME(8,0,0)), "")</f>
        <v/>
      </c>
      <c r="BU28" s="105" t="str">
        <f>IF(BT28=TIME(0,0,0), BT28 + (M28/24),
 IF(AND(M28&gt;6, M28&lt;10, BT28&gt;=TIME(8,0,0), BT28&lt;TIME(21,0,0)), BT28 + ((M28+0.5)/24),
 IF(AND(M28&gt;10, M28&lt;16.1, BT28&gt;=TIME(7,59,0), BT28&lt;TIME(16,0,0)), BT28 + (M28/24), "")))</f>
        <v/>
      </c>
      <c r="BV28" s="105" t="str">
        <f>IF(ISNUMBER(N28), IF(IsBold(N28), TIME(0,0,0), TIME(8,0,0)), "")</f>
        <v/>
      </c>
      <c r="BW28" s="105" t="str">
        <f>IF(BV28=TIME(0,0,0), BV28 + (N28/24),
 IF(AND(N28&gt;6, N28&lt;10, BV28&gt;=TIME(8,0,0), BV28&lt;TIME(21,0,0)), BV28 + ((N28+0.5)/24),
 IF(AND(N28&gt;10, N28&lt;16.1, BV28&gt;=TIME(7,59,0), BV28&lt;TIME(16,0,0)), BV28 + (N28/24), "")))</f>
        <v/>
      </c>
      <c r="BX28" s="105" t="str">
        <f>IF(ISNUMBER(O28), IF(IsBold(O28), TIME(0,0,0), TIME(8,0,0)), "")</f>
        <v/>
      </c>
      <c r="BY28" s="105" t="str">
        <f>IF(BX28=TIME(0,0,0), BX28 + (O28/24),
 IF(AND(O28&gt;6, O28&lt;10, BX28&gt;=TIME(8,0,0), BX28&lt;TIME(21,0,0)), BX28 + ((O28+0.5)/24),
 IF(AND(O28&gt;10, O28&lt;16.1, BX28&gt;=TIME(7,59,0), BX28&lt;TIME(16,0,0)), BX28 + (O28/24), "")))</f>
        <v/>
      </c>
      <c r="BZ28" s="105" t="str">
        <f>IF(ISNUMBER(P28), IF(IsBold(P28), TIME(0,0,0), TIME(8,0,0)), "")</f>
        <v/>
      </c>
      <c r="CA28" s="105" t="str">
        <f>IF(BZ28=TIME(0,0,0), BZ28 + (P28/24),
 IF(AND(P28&gt;6, P28&lt;10, BZ28&gt;=TIME(8,0,0), BZ28&lt;TIME(21,0,0)), BZ28 + ((P28+0.5)/24),
 IF(AND(P28&gt;10, P28&lt;16.1, BZ28&gt;=TIME(7,59,0), BZ28&lt;TIME(16,0,0)), BZ28 + (P28/24), "")))</f>
        <v/>
      </c>
      <c r="CB28" s="105" t="str">
        <f>IF(ISNUMBER(Q28), IF(IsBold(Q28), TIME(0,0,0), TIME(8,0,0)), "")</f>
        <v/>
      </c>
      <c r="CC28" s="105" t="str">
        <f>IF(CB28=TIME(0,0,0), CB28 + (Q28/24),
 IF(AND(Q28&gt;6, Q28&lt;10, CB28&gt;=TIME(8,0,0), CB28&lt;TIME(21,0,0)), CB28 + ((Q28+0.5)/24),
 IF(AND(Q28&gt;10, Q28&lt;16.1, CB28&gt;=TIME(7,59,0), CB28&lt;TIME(16,0,0)), CB28 + (Q28/24), "")))</f>
        <v/>
      </c>
      <c r="CD28" s="105" t="str">
        <f>IF(ISNUMBER(R28), IF(IsBold(R28), TIME(0,0,0), TIME(8,0,0)), "")</f>
        <v/>
      </c>
      <c r="CE28" s="105" t="str">
        <f>IF(CD28=TIME(0,0,0), CD28 + (R28/24),
 IF(AND(R28&gt;6, R28&lt;10, CD28&gt;=TIME(8,0,0), CD28&lt;TIME(21,0,0)), CD28 + ((R28+0.5)/24),
 IF(AND(R28&gt;10, R28&lt;16.1, CD28&gt;=TIME(7,59,0), CD28&lt;TIME(16,0,0)), CD28 + (R28/24), "")))</f>
        <v/>
      </c>
      <c r="CF28" s="105" t="str">
        <f>IF(ISNUMBER(S28), IF(IsBold(S28), TIME(0,0,0), TIME(8,0,0)), "")</f>
        <v/>
      </c>
      <c r="CG28" s="105" t="str">
        <f>IF(CF28=TIME(0,0,0), CF28 + (S28/24),
 IF(AND(S28&gt;6, S28&lt;10, CF28&gt;=TIME(8,0,0), CF28&lt;TIME(21,0,0)), CF28 + ((S28+0.5)/24),
 IF(AND(S28&gt;10, S28&lt;16.1, CF28&gt;=TIME(7,59,0), CF28&lt;TIME(16,0,0)), CF28 + (S28/24), "")))</f>
        <v/>
      </c>
      <c r="CM28" s="18">
        <f>A28</f>
        <v>18</v>
      </c>
      <c r="CN28" s="107">
        <f>B28</f>
        <v>0</v>
      </c>
      <c r="CO28" s="103">
        <f>C28</f>
        <v>0</v>
      </c>
      <c r="CP28" s="104" t="str">
        <f>IF(ISNUMBER(T28), IF(IsBold(T28), TIME(0,0,0), TIME(8,0,0)), "")</f>
        <v/>
      </c>
      <c r="CQ28" s="105" t="str">
        <f>IF(CP28=TIME(0,0,0), CP28 + (T28/24),
 IF(AND(T28&gt;6, T28&lt;10, CP28&gt;=TIME(8,0,0), CP28&lt;TIME(21,0,0)), CP28 + ((T28+0.5)/24),
 IF(AND(T28&gt;10, T28&lt;16.1, CP28&gt;=TIME(7,59,0), CP28&lt;TIME(16,0,0)), CP28 + (T28/24), "")))</f>
        <v/>
      </c>
      <c r="CR28" s="104" t="str">
        <f>IF(ISNUMBER(U28), IF(IsBold(U28), TIME(0,0,0), TIME(8,0,0)), "")</f>
        <v/>
      </c>
      <c r="CS28" s="105" t="str">
        <f>IF(CR28=TIME(0,0,0), CR28 + (U28/24),
 IF(AND(U28&gt;6, U28&lt;10, CR28&gt;=TIME(8,0,0), CR28&lt;TIME(21,0,0)), CR28 + ((U28+0.5)/24),
 IF(AND(U28&gt;10, U28&lt;16.1, CR28&gt;=TIME(7,59,0), CR28&lt;TIME(16,0,0)), CR28 + (U28/24), "")))</f>
        <v/>
      </c>
      <c r="CT28" s="105" t="str">
        <f>IF(ISNUMBER(V28), IF(IsBold(V28), TIME(0,0,0), TIME(8,0,0)), "")</f>
        <v/>
      </c>
      <c r="CU28" s="105" t="str">
        <f>IF(CT28=TIME(0,0,0), CT28 + (V28/24),
 IF(AND(V28&gt;6, V28&lt;10, CT28&gt;=TIME(8,0,0), CT28&lt;TIME(21,0,0)), CT28 + ((V28+0.5)/24),
 IF(AND(V28&gt;10, V28&lt;16.1, CT28&gt;=TIME(7,59,0), CT28&lt;TIME(16,0,0)), CT28 + (V28/24), "")))</f>
        <v/>
      </c>
      <c r="CV28" s="105" t="str">
        <f>IF(ISNUMBER(W28), IF(IsBold(W28), TIME(0,0,0), TIME(8,0,0)), "")</f>
        <v/>
      </c>
      <c r="CW28" s="105" t="str">
        <f>IF(CV28=TIME(0,0,0), CV28 + (W28/24),
 IF(AND(W28&gt;6, W28&lt;10, CV28&gt;=TIME(8,0,0), CV28&lt;TIME(21,0,0)), CV28 + ((W28+0.5)/24),
 IF(AND(W28&gt;10, W28&lt;16.1, CV28&gt;=TIME(7,59,0), CV28&lt;TIME(16,0,0)), CV28 + (W28/24), "")))</f>
        <v/>
      </c>
      <c r="CX28" s="105" t="str">
        <f>IF(ISNUMBER(X28), IF(IsBold(X28), TIME(0,0,0), TIME(8,0,0)), "")</f>
        <v/>
      </c>
      <c r="CY28" s="105" t="str">
        <f>IF(CX28=TIME(0,0,0), CX28 + (X28/24),
 IF(AND(X28&gt;6, X28&lt;10, CX28&gt;=TIME(8,0,0), CX28&lt;TIME(21,0,0)), CX28 + ((X28+0.5)/24),
 IF(AND(X28&gt;10, X28&lt;16.1, CX28&gt;=TIME(7,59,0), CX28&lt;TIME(16,0,0)), CX28 + (X28/24), "")))</f>
        <v/>
      </c>
      <c r="CZ28" s="105" t="str">
        <f>IF(ISNUMBER(Y28), IF(IsBold(Y28), TIME(0,0,0), TIME(8,0,0)), "")</f>
        <v/>
      </c>
      <c r="DA28" s="105" t="str">
        <f>IF(CZ28=TIME(0,0,0), CZ28 + (Y28/24),
 IF(AND(Y28&gt;6, Y28&lt;10, CZ28&gt;=TIME(8,0,0), CZ28&lt;TIME(21,0,0)), CZ28 + ((Y28+0.5)/24),
 IF(AND(Y28&gt;10, Y28&lt;16.1, CZ28&gt;=TIME(7,59,0), CZ28&lt;TIME(16,0,0)), CZ28 + (Y28/24), "")))</f>
        <v/>
      </c>
      <c r="DB28" s="105" t="str">
        <f>IF(ISNUMBER(Z28), IF(IsBold(Z28), TIME(0,0,0), TIME(8,0,0)), "")</f>
        <v/>
      </c>
      <c r="DC28" s="105" t="str">
        <f>IF(DB28=TIME(0,0,0), DB28 + (Z28/24),
 IF(AND(Z28&gt;6, Z28&lt;10, DB28&gt;=TIME(8,0,0), DB28&lt;TIME(21,0,0)), DB28 + ((Z28+0.5)/24),
 IF(AND(Z28&gt;10, Z28&lt;16.1, DB28&gt;=TIME(7,59,0), DB28&lt;TIME(16,0,0)), DB28 + (Z28/24), "")))</f>
        <v/>
      </c>
      <c r="DD28" s="106" t="str">
        <f>IF(ISNUMBER(AA28), IF(IsBold(AA28), TIME(0,0,0), TIME(8,0,0)), "")</f>
        <v/>
      </c>
      <c r="DE28" s="105" t="str">
        <f>IF(DD28=TIME(0,0,0), DD28 + (AA28/24),
 IF(AND(AA28&gt;6, AA28&lt;10, DD28&gt;=TIME(8,0,0), DD28&lt;TIME(21,0,0)), DD28 + ((AA28+0.5)/24),
 IF(AND(AA28&gt;10, AA28&lt;16.1, DD28&gt;=TIME(7,59,0), DD28&lt;TIME(16,0,0)), DD28 + (AA28/24), "")))</f>
        <v/>
      </c>
      <c r="DF28" s="106" t="str">
        <f>IF(ISNUMBER(AB28), IF(IsBold(AB28), TIME(0,0,0), TIME(8,0,0)), "")</f>
        <v/>
      </c>
      <c r="DG28" s="105" t="str">
        <f>IF(DF28=TIME(0,0,0), DF28 + (AB28/24),
 IF(AND(AB28&gt;6, AB28&lt;10, DF28&gt;=TIME(8,0,0), DF28&lt;TIME(21,0,0)), DF28 + ((AB28+0.5)/24),
 IF(AND(AB28&gt;10, AB28&lt;16.1, DF28&gt;=TIME(7,59,0), DF28&lt;TIME(16,0,0)), DF28 + (AB28/24), "")))</f>
        <v/>
      </c>
      <c r="DH28" s="105" t="str">
        <f>IF(ISNUMBER(AC28), IF(IsBold(AC28), TIME(0,0,0), TIME(8,0,0)), "")</f>
        <v/>
      </c>
      <c r="DI28" s="105" t="str">
        <f>IF(DH28=TIME(0,0,0), DH28 + (AC28/24),
 IF(AND(AC28&gt;6, AC28&lt;10, DH28&gt;=TIME(8,0,0), DH28&lt;TIME(21,0,0)), DH28 + ((AC28+0.5)/24),
 IF(AND(AC28&gt;10, AC28&lt;16.1, DH28&gt;=TIME(7,59,0), DH28&lt;TIME(16,0,0)), DH28 + (AC28/24), "")))</f>
        <v/>
      </c>
      <c r="DJ28" s="105" t="str">
        <f>IF(ISNUMBER(AD28), IF(IsBold(AD28), TIME(0,0,0), TIME(8,0,0)), "")</f>
        <v/>
      </c>
      <c r="DK28" s="105" t="str">
        <f>IF(DJ28=TIME(0,0,0), DJ28 + (AD28/24),
 IF(AND(AD28&gt;6, AD28&lt;10, DJ28&gt;=TIME(8,0,0), DJ28&lt;TIME(21,0,0)), DJ28 + ((AD28+0.5)/24),
 IF(AND(AD28&gt;10, AD28&lt;16.1, DJ28&gt;=TIME(7,59,0), DJ28&lt;TIME(16,0,0)), DJ28 + (AD28/24), "")))</f>
        <v/>
      </c>
      <c r="DL28" s="105" t="str">
        <f>IF(ISNUMBER(AE28), IF(IsBold(AE28), TIME(0,0,0), TIME(8,0,0)), "")</f>
        <v/>
      </c>
      <c r="DM28" s="105" t="str">
        <f>IF(DL28=TIME(0,0,0), DL28 + (AE28/24),
 IF(AND(AE28&gt;6, AE28&lt;10, DL28&gt;=TIME(8,0,0), DL28&lt;TIME(21,0,0)), DL28 + ((AE28+0.5)/24),
 IF(AND(AE28&gt;10, AE28&lt;16.1, DL28&gt;=TIME(7,59,0), DL28&lt;TIME(16,0,0)), DL28 + (AE28/24), "")))</f>
        <v/>
      </c>
      <c r="DN28" s="105" t="str">
        <f>IF(ISNUMBER(AF28), IF(IsBold(AF28), TIME(0,0,0), TIME(8,0,0)), "")</f>
        <v/>
      </c>
      <c r="DO28" s="105" t="str">
        <f>IF(DN28=TIME(0,0,0), DN28 + (AF28/24),
 IF(AND(AF28&gt;6, AF28&lt;10, DN28&gt;=TIME(8,0,0), DN28&lt;TIME(21,0,0)), DN28 + ((AF28+0.5)/24),
 IF(AND(AF28&gt;10, AF28&lt;16.1, DN28&gt;=TIME(7,59,0), DN28&lt;TIME(16,0,0)), DN28 + (AF28/24), "")))</f>
        <v/>
      </c>
      <c r="DP28" s="105" t="str">
        <f>IF(ISNUMBER(AG28), IF(IsBold(AG28), TIME(0,0,0), TIME(8,0,0)), "")</f>
        <v/>
      </c>
      <c r="DQ28" s="105" t="str">
        <f>IF(DP28=TIME(0,0,0), DP28 + (AG28/24),
 IF(AND(AG28&gt;6, AG28&lt;10, DP28&gt;=TIME(8,0,0), DP28&lt;TIME(21,0,0)), DP28 + ((AG28+0.5)/24),
 IF(AND(AG28&gt;10, AG28&lt;16.1, DP28&gt;=TIME(7,59,0), DP28&lt;TIME(16,0,0)), DP28 + (AG28/24), "")))</f>
        <v/>
      </c>
      <c r="DR28" s="105" t="str">
        <f>IF(ISNUMBER(AH28), IF(IsBold(AH28), TIME(0,0,0), TIME(8,0,0)), "")</f>
        <v/>
      </c>
      <c r="DS28" s="105" t="str">
        <f>IF(DR28=TIME(0,0,0), DR28 + (AH28/24),
 IF(AND(AH28&gt;6, AH28&lt;10, DR28&gt;=TIME(8,0,0), DR28&lt;TIME(21,0,0)), DR28 + ((AH28+0.5)/24),
 IF(AND(AH28&gt;10, AH28&lt;16.1, DR28&gt;=TIME(7,59,0), DR28&lt;TIME(16,0,0)), DR28 + (AH28/24), "")))</f>
        <v/>
      </c>
      <c r="DT28" s="105" t="str">
        <f>IF(ISNUMBER(AI28), IF(IsBold(AI28), TIME(0,0,0), TIME(8,0,0)), "")</f>
        <v/>
      </c>
      <c r="DU28" s="105" t="str">
        <f>IF(DT28=TIME(0,0,0), DT28 + (AI28/24),
 IF(AND(AI28&gt;6, AI28&lt;10, DT28&gt;=TIME(8,0,0), DT28&lt;TIME(21,0,0)), DT28 + ((AI28+0.5)/24),
 IF(AND(AI28&gt;10, AI28&lt;16.1, DT28&gt;=TIME(7,59,0), DT28&lt;TIME(16,0,0)), DT28 + (AI28/24), "")))</f>
        <v/>
      </c>
      <c r="DV28" s="110">
        <f t="shared" si="2"/>
        <v>0</v>
      </c>
    </row>
    <row r="29" spans="1:126" ht="15" thickBot="1" x14ac:dyDescent="0.35">
      <c r="A29" s="13">
        <v>19</v>
      </c>
      <c r="B29" s="76"/>
      <c r="C29" s="77"/>
      <c r="D29" s="78"/>
      <c r="E29" s="74"/>
      <c r="F29" s="82"/>
      <c r="G29" s="83"/>
      <c r="H29" s="84"/>
      <c r="I29" s="82"/>
      <c r="J29" s="82"/>
      <c r="K29" s="83"/>
      <c r="L29" s="84"/>
      <c r="M29" s="82"/>
      <c r="N29" s="82"/>
      <c r="O29" s="83"/>
      <c r="P29" s="84"/>
      <c r="Q29" s="82"/>
      <c r="R29" s="82"/>
      <c r="S29" s="83"/>
      <c r="T29" s="84"/>
      <c r="U29" s="82"/>
      <c r="V29" s="82"/>
      <c r="W29" s="83"/>
      <c r="X29" s="84"/>
      <c r="Y29" s="82"/>
      <c r="Z29" s="82"/>
      <c r="AA29" s="83"/>
      <c r="AB29" s="84"/>
      <c r="AC29" s="82"/>
      <c r="AD29" s="82"/>
      <c r="AE29" s="83"/>
      <c r="AF29" s="84"/>
      <c r="AG29" s="74"/>
      <c r="AH29" s="74"/>
      <c r="AI29" s="74"/>
      <c r="AJ29" s="90">
        <f>COUNTIFS(E29:AI29,"&gt;0", E29:AI29,"&lt;&gt;"&amp;"")</f>
        <v>0</v>
      </c>
      <c r="AK29" s="91">
        <f>COUNTIF(E29:AI29, "ВП")</f>
        <v>0</v>
      </c>
      <c r="AL29" s="95">
        <f>COUNTIF(E29:AI29, "ВД")</f>
        <v>0</v>
      </c>
      <c r="AM29" s="91">
        <f>SumBoldNumbers(E29:AI29)</f>
        <v>0</v>
      </c>
      <c r="AN29" s="91">
        <f>SUM(CountWeekendDays(E10)+COUNTIF(E29:AI29,"С"))</f>
        <v>9</v>
      </c>
      <c r="AO29" s="96">
        <f>SUM(E29:AI29)</f>
        <v>0</v>
      </c>
      <c r="AP29" s="93">
        <f>(DAY(EOMONTH(E10, 0)) - AN29 - AK29) * AU29  * D29</f>
        <v>0</v>
      </c>
      <c r="AQ29" s="94">
        <f t="shared" si="6"/>
        <v>0</v>
      </c>
      <c r="AR29" s="101" t="e">
        <f t="shared" si="3"/>
        <v>#DIV/0!</v>
      </c>
      <c r="AU29" s="29">
        <f>IF(C29="вихователь", 6, IF(C29="каштелян", 8, IF(C29="буфетниця", 8, IF(C29="молодша м/с", 8, IF(C29="сестр. госп.", 8, 7.7)))))</f>
        <v>7.7</v>
      </c>
      <c r="BA29" s="18">
        <f>A29</f>
        <v>19</v>
      </c>
      <c r="BB29" s="107">
        <f>B29</f>
        <v>0</v>
      </c>
      <c r="BC29" s="103">
        <f>C29</f>
        <v>0</v>
      </c>
      <c r="BD29" s="104" t="str">
        <f>IF(ISNUMBER(E29), IF(IsBold(E29), TIME(0,0,0), TIME(8,0,0)), "")</f>
        <v/>
      </c>
      <c r="BE29" s="105" t="str">
        <f>IF(BD29=TIME(0,0,0), BD29 + (E29/24),
 IF(AND(E29&gt;6, E29&lt;10, BD29&gt;=TIME(8,0,0), BD29&lt;TIME(21,0,0)), BD29 + ((E29+0.5)/24),
 IF(AND(E29&gt;10, E29&lt;16.1, BD29&gt;=TIME(7,59,0), BD29&lt;TIME(16,0,0)), BD29 + (E29/24), "")))</f>
        <v/>
      </c>
      <c r="BF29" s="105" t="str">
        <f>IF(ISNUMBER(F29), IF(IsBold(F29), TIME(0,0,0), TIME(8,0,0)), "")</f>
        <v/>
      </c>
      <c r="BG29" s="105" t="str">
        <f>IF(BF29=TIME(0,0,0), BF29 + (F29/24),
 IF(AND(F29&gt;6, F29&lt;10, BF29&gt;=TIME(8,0,0), BF29&lt;TIME(21,0,0)), BF29 + ((F29+0.5)/24),
 IF(AND(F29&gt;10, F29&lt;16.1, BF29&gt;=TIME(7,59,0), BF29&lt;TIME(16,0,0)), BF29 + (F29/24), "")))</f>
        <v/>
      </c>
      <c r="BH29" s="105" t="str">
        <f>IF(ISNUMBER(G29), IF(IsBold(G29), TIME(0,0,0), TIME(8,0,0)), "")</f>
        <v/>
      </c>
      <c r="BI29" s="105" t="str">
        <f>IF(BH29=TIME(0,0,0), BH29 + (G29/24),
 IF(AND(G29&gt;6, G29&lt;10, BH29&gt;=TIME(8,0,0), BH29&lt;TIME(21,0,0)), BH29 + ((G29+0.5)/24),
 IF(AND(G29&gt;10, G29&lt;16.1, BH29&gt;=TIME(7,59,0), BH29&lt;TIME(16,0,0)), BH29 + (G29/24), "")))</f>
        <v/>
      </c>
      <c r="BJ29" s="105" t="str">
        <f>IF(ISNUMBER(H29), IF(IsBold(H29), TIME(0,0,0), TIME(8,0,0)), "")</f>
        <v/>
      </c>
      <c r="BK29" s="105" t="str">
        <f>IF(BJ29=TIME(0,0,0), BJ29 + (H29/24),
 IF(AND(H29&gt;6, H29&lt;10, BJ29&gt;=TIME(8,0,0), BJ29&lt;TIME(21,0,0)), BJ29 + ((H29+0.5)/24),
 IF(AND(H29&gt;10, H29&lt;16.1, BJ29&gt;=TIME(7,59,0), BJ29&lt;TIME(16,0,0)), BJ29 + (H29/24), "")))</f>
        <v/>
      </c>
      <c r="BL29" s="105" t="str">
        <f>IF(ISNUMBER(I29), IF(IsBold(I29), TIME(0,0,0), TIME(8,0,0)), "")</f>
        <v/>
      </c>
      <c r="BM29" s="105" t="str">
        <f>IF(BL29=TIME(0,0,0), BL29 + (I29/24),
 IF(AND(I29&gt;6, I29&lt;10, BL29&gt;=TIME(8,0,0), BL29&lt;TIME(21,0,0)), BL29 + ((I29+0.5)/24),
 IF(AND(I29&gt;10, I29&lt;16.1, BL29&gt;=TIME(7,59,0), BL29&lt;TIME(16,0,0)), BL29 + (I29/24), "")))</f>
        <v/>
      </c>
      <c r="BN29" s="105" t="str">
        <f>IF(ISNUMBER(J29), IF(IsBold(J29), TIME(0,0,0), TIME(8,0,0)), "")</f>
        <v/>
      </c>
      <c r="BO29" s="105" t="str">
        <f>IF(BN29=TIME(0,0,0), BN29 + (J29/24),
 IF(AND(J29&gt;6, J29&lt;10, BN29&gt;=TIME(8,0,0), BN29&lt;TIME(21,0,0)), BN29 + ((J29+0.5)/24),
 IF(AND(J29&gt;10, J29&lt;16.1, BN29&gt;=TIME(7,59,0), BN29&lt;TIME(16,0,0)), BN29 + (J29/24), "")))</f>
        <v/>
      </c>
      <c r="BP29" s="105" t="str">
        <f>IF(ISNUMBER(K29), IF(IsBold(K29), TIME(0,0,0), TIME(8,0,0)), "")</f>
        <v/>
      </c>
      <c r="BQ29" s="105" t="str">
        <f>IF(BP29=TIME(0,0,0), BP29 + (K29/24),
 IF(AND(K29&gt;6, K29&lt;10, BP29&gt;=TIME(8,0,0), BP29&lt;TIME(21,0,0)), BP29 + ((K29+0.5)/24),
 IF(AND(K29&gt;10, K29&lt;16.1, BP29&gt;=TIME(7,59,0), BP29&lt;TIME(16,0,0)), BP29 + (K29/24), "")))</f>
        <v/>
      </c>
      <c r="BR29" s="106" t="str">
        <f>IF(ISNUMBER(L29), IF(IsBold(L29), TIME(0,0,0), TIME(8,0,0)), "")</f>
        <v/>
      </c>
      <c r="BS29" s="105" t="str">
        <f>IF(BR29=TIME(0,0,0), BR29 + (L29/24),
 IF(AND(L29&gt;6, L29&lt;10, BR29&gt;=TIME(8,0,0), BR29&lt;TIME(21,0,0)), BR29 + ((L29+0.5)/24),
 IF(AND(L29&gt;10, L29&lt;16.1, BR29&gt;=TIME(7,59,0), BR29&lt;TIME(16,0,0)), BR29 + (L29/24), "")))</f>
        <v/>
      </c>
      <c r="BT29" s="106" t="str">
        <f>IF(ISNUMBER(M29), IF(IsBold(M29), TIME(0,0,0), TIME(8,0,0)), "")</f>
        <v/>
      </c>
      <c r="BU29" s="105" t="str">
        <f>IF(BT29=TIME(0,0,0), BT29 + (M29/24),
 IF(AND(M29&gt;6, M29&lt;10, BT29&gt;=TIME(8,0,0), BT29&lt;TIME(21,0,0)), BT29 + ((M29+0.5)/24),
 IF(AND(M29&gt;10, M29&lt;16.1, BT29&gt;=TIME(7,59,0), BT29&lt;TIME(16,0,0)), BT29 + (M29/24), "")))</f>
        <v/>
      </c>
      <c r="BV29" s="105" t="str">
        <f>IF(ISNUMBER(N29), IF(IsBold(N29), TIME(0,0,0), TIME(8,0,0)), "")</f>
        <v/>
      </c>
      <c r="BW29" s="105" t="str">
        <f>IF(BV29=TIME(0,0,0), BV29 + (N29/24),
 IF(AND(N29&gt;6, N29&lt;10, BV29&gt;=TIME(8,0,0), BV29&lt;TIME(21,0,0)), BV29 + ((N29+0.5)/24),
 IF(AND(N29&gt;10, N29&lt;16.1, BV29&gt;=TIME(7,59,0), BV29&lt;TIME(16,0,0)), BV29 + (N29/24), "")))</f>
        <v/>
      </c>
      <c r="BX29" s="105" t="str">
        <f>IF(ISNUMBER(O29), IF(IsBold(O29), TIME(0,0,0), TIME(8,0,0)), "")</f>
        <v/>
      </c>
      <c r="BY29" s="105" t="str">
        <f>IF(BX29=TIME(0,0,0), BX29 + (O29/24),
 IF(AND(O29&gt;6, O29&lt;10, BX29&gt;=TIME(8,0,0), BX29&lt;TIME(21,0,0)), BX29 + ((O29+0.5)/24),
 IF(AND(O29&gt;10, O29&lt;16.1, BX29&gt;=TIME(7,59,0), BX29&lt;TIME(16,0,0)), BX29 + (O29/24), "")))</f>
        <v/>
      </c>
      <c r="BZ29" s="105" t="str">
        <f>IF(ISNUMBER(P29), IF(IsBold(P29), TIME(0,0,0), TIME(8,0,0)), "")</f>
        <v/>
      </c>
      <c r="CA29" s="105" t="str">
        <f>IF(BZ29=TIME(0,0,0), BZ29 + (P29/24),
 IF(AND(P29&gt;6, P29&lt;10, BZ29&gt;=TIME(8,0,0), BZ29&lt;TIME(21,0,0)), BZ29 + ((P29+0.5)/24),
 IF(AND(P29&gt;10, P29&lt;16.1, BZ29&gt;=TIME(7,59,0), BZ29&lt;TIME(16,0,0)), BZ29 + (P29/24), "")))</f>
        <v/>
      </c>
      <c r="CB29" s="105" t="str">
        <f>IF(ISNUMBER(Q29), IF(IsBold(Q29), TIME(0,0,0), TIME(8,0,0)), "")</f>
        <v/>
      </c>
      <c r="CC29" s="105" t="str">
        <f>IF(CB29=TIME(0,0,0), CB29 + (Q29/24),
 IF(AND(Q29&gt;6, Q29&lt;10, CB29&gt;=TIME(8,0,0), CB29&lt;TIME(21,0,0)), CB29 + ((Q29+0.5)/24),
 IF(AND(Q29&gt;10, Q29&lt;16.1, CB29&gt;=TIME(7,59,0), CB29&lt;TIME(16,0,0)), CB29 + (Q29/24), "")))</f>
        <v/>
      </c>
      <c r="CD29" s="105" t="str">
        <f>IF(ISNUMBER(R29), IF(IsBold(R29), TIME(0,0,0), TIME(8,0,0)), "")</f>
        <v/>
      </c>
      <c r="CE29" s="105" t="str">
        <f>IF(CD29=TIME(0,0,0), CD29 + (R29/24),
 IF(AND(R29&gt;6, R29&lt;10, CD29&gt;=TIME(8,0,0), CD29&lt;TIME(21,0,0)), CD29 + ((R29+0.5)/24),
 IF(AND(R29&gt;10, R29&lt;16.1, CD29&gt;=TIME(7,59,0), CD29&lt;TIME(16,0,0)), CD29 + (R29/24), "")))</f>
        <v/>
      </c>
      <c r="CF29" s="105" t="str">
        <f>IF(ISNUMBER(S29), IF(IsBold(S29), TIME(0,0,0), TIME(8,0,0)), "")</f>
        <v/>
      </c>
      <c r="CG29" s="105" t="str">
        <f>IF(CF29=TIME(0,0,0), CF29 + (S29/24),
 IF(AND(S29&gt;6, S29&lt;10, CF29&gt;=TIME(8,0,0), CF29&lt;TIME(21,0,0)), CF29 + ((S29+0.5)/24),
 IF(AND(S29&gt;10, S29&lt;16.1, CF29&gt;=TIME(7,59,0), CF29&lt;TIME(16,0,0)), CF29 + (S29/24), "")))</f>
        <v/>
      </c>
      <c r="CM29" s="18">
        <f>A29</f>
        <v>19</v>
      </c>
      <c r="CN29" s="107">
        <f>B29</f>
        <v>0</v>
      </c>
      <c r="CO29" s="103">
        <f>C29</f>
        <v>0</v>
      </c>
      <c r="CP29" s="104" t="str">
        <f>IF(ISNUMBER(T29), IF(IsBold(T29), TIME(0,0,0), TIME(8,0,0)), "")</f>
        <v/>
      </c>
      <c r="CQ29" s="105" t="str">
        <f>IF(CP29=TIME(0,0,0), CP29 + (T29/24),
 IF(AND(T29&gt;6, T29&lt;10, CP29&gt;=TIME(8,0,0), CP29&lt;TIME(21,0,0)), CP29 + ((T29+0.5)/24),
 IF(AND(T29&gt;10, T29&lt;16.1, CP29&gt;=TIME(7,59,0), CP29&lt;TIME(16,0,0)), CP29 + (T29/24), "")))</f>
        <v/>
      </c>
      <c r="CR29" s="104" t="str">
        <f>IF(ISNUMBER(U29), IF(IsBold(U29), TIME(0,0,0), TIME(8,0,0)), "")</f>
        <v/>
      </c>
      <c r="CS29" s="105" t="str">
        <f>IF(CR29=TIME(0,0,0), CR29 + (U29/24),
 IF(AND(U29&gt;6, U29&lt;10, CR29&gt;=TIME(8,0,0), CR29&lt;TIME(21,0,0)), CR29 + ((U29+0.5)/24),
 IF(AND(U29&gt;10, U29&lt;16.1, CR29&gt;=TIME(7,59,0), CR29&lt;TIME(16,0,0)), CR29 + (U29/24), "")))</f>
        <v/>
      </c>
      <c r="CT29" s="105" t="str">
        <f>IF(ISNUMBER(V29), IF(IsBold(V29), TIME(0,0,0), TIME(8,0,0)), "")</f>
        <v/>
      </c>
      <c r="CU29" s="105" t="str">
        <f>IF(CT29=TIME(0,0,0), CT29 + (V29/24),
 IF(AND(V29&gt;6, V29&lt;10, CT29&gt;=TIME(8,0,0), CT29&lt;TIME(21,0,0)), CT29 + ((V29+0.5)/24),
 IF(AND(V29&gt;10, V29&lt;16.1, CT29&gt;=TIME(7,59,0), CT29&lt;TIME(16,0,0)), CT29 + (V29/24), "")))</f>
        <v/>
      </c>
      <c r="CV29" s="105" t="str">
        <f>IF(ISNUMBER(W29), IF(IsBold(W29), TIME(0,0,0), TIME(8,0,0)), "")</f>
        <v/>
      </c>
      <c r="CW29" s="105" t="str">
        <f>IF(CV29=TIME(0,0,0), CV29 + (W29/24),
 IF(AND(W29&gt;6, W29&lt;10, CV29&gt;=TIME(8,0,0), CV29&lt;TIME(21,0,0)), CV29 + ((W29+0.5)/24),
 IF(AND(W29&gt;10, W29&lt;16.1, CV29&gt;=TIME(7,59,0), CV29&lt;TIME(16,0,0)), CV29 + (W29/24), "")))</f>
        <v/>
      </c>
      <c r="CX29" s="105" t="str">
        <f>IF(ISNUMBER(X29), IF(IsBold(X29), TIME(0,0,0), TIME(8,0,0)), "")</f>
        <v/>
      </c>
      <c r="CY29" s="105" t="str">
        <f>IF(CX29=TIME(0,0,0), CX29 + (X29/24),
 IF(AND(X29&gt;6, X29&lt;10, CX29&gt;=TIME(8,0,0), CX29&lt;TIME(21,0,0)), CX29 + ((X29+0.5)/24),
 IF(AND(X29&gt;10, X29&lt;16.1, CX29&gt;=TIME(7,59,0), CX29&lt;TIME(16,0,0)), CX29 + (X29/24), "")))</f>
        <v/>
      </c>
      <c r="CZ29" s="105" t="str">
        <f>IF(ISNUMBER(Y29), IF(IsBold(Y29), TIME(0,0,0), TIME(8,0,0)), "")</f>
        <v/>
      </c>
      <c r="DA29" s="105" t="str">
        <f>IF(CZ29=TIME(0,0,0), CZ29 + (Y29/24),
 IF(AND(Y29&gt;6, Y29&lt;10, CZ29&gt;=TIME(8,0,0), CZ29&lt;TIME(21,0,0)), CZ29 + ((Y29+0.5)/24),
 IF(AND(Y29&gt;10, Y29&lt;16.1, CZ29&gt;=TIME(7,59,0), CZ29&lt;TIME(16,0,0)), CZ29 + (Y29/24), "")))</f>
        <v/>
      </c>
      <c r="DB29" s="105" t="str">
        <f>IF(ISNUMBER(Z29), IF(IsBold(Z29), TIME(0,0,0), TIME(8,0,0)), "")</f>
        <v/>
      </c>
      <c r="DC29" s="105" t="str">
        <f>IF(DB29=TIME(0,0,0), DB29 + (Z29/24),
 IF(AND(Z29&gt;6, Z29&lt;10, DB29&gt;=TIME(8,0,0), DB29&lt;TIME(21,0,0)), DB29 + ((Z29+0.5)/24),
 IF(AND(Z29&gt;10, Z29&lt;16.1, DB29&gt;=TIME(7,59,0), DB29&lt;TIME(16,0,0)), DB29 + (Z29/24), "")))</f>
        <v/>
      </c>
      <c r="DD29" s="106" t="str">
        <f>IF(ISNUMBER(AA29), IF(IsBold(AA29), TIME(0,0,0), TIME(8,0,0)), "")</f>
        <v/>
      </c>
      <c r="DE29" s="105" t="str">
        <f>IF(DD29=TIME(0,0,0), DD29 + (AA29/24),
 IF(AND(AA29&gt;6, AA29&lt;10, DD29&gt;=TIME(8,0,0), DD29&lt;TIME(21,0,0)), DD29 + ((AA29+0.5)/24),
 IF(AND(AA29&gt;10, AA29&lt;16.1, DD29&gt;=TIME(7,59,0), DD29&lt;TIME(16,0,0)), DD29 + (AA29/24), "")))</f>
        <v/>
      </c>
      <c r="DF29" s="106" t="str">
        <f>IF(ISNUMBER(AB29), IF(IsBold(AB29), TIME(0,0,0), TIME(8,0,0)), "")</f>
        <v/>
      </c>
      <c r="DG29" s="105" t="str">
        <f>IF(DF29=TIME(0,0,0), DF29 + (AB29/24),
 IF(AND(AB29&gt;6, AB29&lt;10, DF29&gt;=TIME(8,0,0), DF29&lt;TIME(21,0,0)), DF29 + ((AB29+0.5)/24),
 IF(AND(AB29&gt;10, AB29&lt;16.1, DF29&gt;=TIME(7,59,0), DF29&lt;TIME(16,0,0)), DF29 + (AB29/24), "")))</f>
        <v/>
      </c>
      <c r="DH29" s="105" t="str">
        <f>IF(ISNUMBER(AC29), IF(IsBold(AC29), TIME(0,0,0), TIME(8,0,0)), "")</f>
        <v/>
      </c>
      <c r="DI29" s="105" t="str">
        <f>IF(DH29=TIME(0,0,0), DH29 + (AC29/24),
 IF(AND(AC29&gt;6, AC29&lt;10, DH29&gt;=TIME(8,0,0), DH29&lt;TIME(21,0,0)), DH29 + ((AC29+0.5)/24),
 IF(AND(AC29&gt;10, AC29&lt;16.1, DH29&gt;=TIME(7,59,0), DH29&lt;TIME(16,0,0)), DH29 + (AC29/24), "")))</f>
        <v/>
      </c>
      <c r="DJ29" s="105" t="str">
        <f>IF(ISNUMBER(AD29), IF(IsBold(AD29), TIME(0,0,0), TIME(8,0,0)), "")</f>
        <v/>
      </c>
      <c r="DK29" s="105" t="str">
        <f>IF(DJ29=TIME(0,0,0), DJ29 + (AD29/24),
 IF(AND(AD29&gt;6, AD29&lt;10, DJ29&gt;=TIME(8,0,0), DJ29&lt;TIME(21,0,0)), DJ29 + ((AD29+0.5)/24),
 IF(AND(AD29&gt;10, AD29&lt;16.1, DJ29&gt;=TIME(7,59,0), DJ29&lt;TIME(16,0,0)), DJ29 + (AD29/24), "")))</f>
        <v/>
      </c>
      <c r="DL29" s="105" t="str">
        <f>IF(ISNUMBER(AE29), IF(IsBold(AE29), TIME(0,0,0), TIME(8,0,0)), "")</f>
        <v/>
      </c>
      <c r="DM29" s="105" t="str">
        <f>IF(DL29=TIME(0,0,0), DL29 + (AE29/24),
 IF(AND(AE29&gt;6, AE29&lt;10, DL29&gt;=TIME(8,0,0), DL29&lt;TIME(21,0,0)), DL29 + ((AE29+0.5)/24),
 IF(AND(AE29&gt;10, AE29&lt;16.1, DL29&gt;=TIME(7,59,0), DL29&lt;TIME(16,0,0)), DL29 + (AE29/24), "")))</f>
        <v/>
      </c>
      <c r="DN29" s="105" t="str">
        <f>IF(ISNUMBER(AF29), IF(IsBold(AF29), TIME(0,0,0), TIME(8,0,0)), "")</f>
        <v/>
      </c>
      <c r="DO29" s="105" t="str">
        <f>IF(DN29=TIME(0,0,0), DN29 + (AF29/24),
 IF(AND(AF29&gt;6, AF29&lt;10, DN29&gt;=TIME(8,0,0), DN29&lt;TIME(21,0,0)), DN29 + ((AF29+0.5)/24),
 IF(AND(AF29&gt;10, AF29&lt;16.1, DN29&gt;=TIME(7,59,0), DN29&lt;TIME(16,0,0)), DN29 + (AF29/24), "")))</f>
        <v/>
      </c>
      <c r="DP29" s="105" t="str">
        <f>IF(ISNUMBER(AG29), IF(IsBold(AG29), TIME(0,0,0), TIME(8,0,0)), "")</f>
        <v/>
      </c>
      <c r="DQ29" s="105" t="str">
        <f>IF(DP29=TIME(0,0,0), DP29 + (AG29/24),
 IF(AND(AG29&gt;6, AG29&lt;10, DP29&gt;=TIME(8,0,0), DP29&lt;TIME(21,0,0)), DP29 + ((AG29+0.5)/24),
 IF(AND(AG29&gt;10, AG29&lt;16.1, DP29&gt;=TIME(7,59,0), DP29&lt;TIME(16,0,0)), DP29 + (AG29/24), "")))</f>
        <v/>
      </c>
      <c r="DR29" s="105" t="str">
        <f>IF(ISNUMBER(AH29), IF(IsBold(AH29), TIME(0,0,0), TIME(8,0,0)), "")</f>
        <v/>
      </c>
      <c r="DS29" s="105" t="str">
        <f>IF(DR29=TIME(0,0,0), DR29 + (AH29/24),
 IF(AND(AH29&gt;6, AH29&lt;10, DR29&gt;=TIME(8,0,0), DR29&lt;TIME(21,0,0)), DR29 + ((AH29+0.5)/24),
 IF(AND(AH29&gt;10, AH29&lt;16.1, DR29&gt;=TIME(7,59,0), DR29&lt;TIME(16,0,0)), DR29 + (AH29/24), "")))</f>
        <v/>
      </c>
      <c r="DT29" s="105" t="str">
        <f>IF(ISNUMBER(AI29), IF(IsBold(AI29), TIME(0,0,0), TIME(8,0,0)), "")</f>
        <v/>
      </c>
      <c r="DU29" s="105" t="str">
        <f>IF(DT29=TIME(0,0,0), DT29 + (AI29/24),
 IF(AND(AI29&gt;6, AI29&lt;10, DT29&gt;=TIME(8,0,0), DT29&lt;TIME(21,0,0)), DT29 + ((AI29+0.5)/24),
 IF(AND(AI29&gt;10, AI29&lt;16.1, DT29&gt;=TIME(7,59,0), DT29&lt;TIME(16,0,0)), DT29 + (AI29/24), "")))</f>
        <v/>
      </c>
      <c r="DV29" s="110">
        <f t="shared" si="2"/>
        <v>0</v>
      </c>
    </row>
    <row r="30" spans="1:126" ht="15" thickBot="1" x14ac:dyDescent="0.35">
      <c r="A30" s="13">
        <v>20</v>
      </c>
      <c r="B30" s="76"/>
      <c r="C30" s="77"/>
      <c r="D30" s="78"/>
      <c r="E30" s="74"/>
      <c r="F30" s="82"/>
      <c r="G30" s="83"/>
      <c r="H30" s="84"/>
      <c r="I30" s="82"/>
      <c r="J30" s="82"/>
      <c r="K30" s="83"/>
      <c r="L30" s="84"/>
      <c r="M30" s="82"/>
      <c r="N30" s="82"/>
      <c r="O30" s="83"/>
      <c r="P30" s="84"/>
      <c r="Q30" s="82"/>
      <c r="R30" s="82"/>
      <c r="S30" s="83"/>
      <c r="T30" s="84"/>
      <c r="U30" s="82"/>
      <c r="V30" s="82"/>
      <c r="W30" s="83"/>
      <c r="X30" s="84"/>
      <c r="Y30" s="82"/>
      <c r="Z30" s="82"/>
      <c r="AA30" s="83"/>
      <c r="AB30" s="84"/>
      <c r="AC30" s="82"/>
      <c r="AD30" s="82"/>
      <c r="AE30" s="83"/>
      <c r="AF30" s="84"/>
      <c r="AG30" s="74"/>
      <c r="AH30" s="74"/>
      <c r="AI30" s="74"/>
      <c r="AJ30" s="90">
        <f>COUNTIFS(E30:AI30,"&gt;0", E30:AI30,"&lt;&gt;"&amp;"")</f>
        <v>0</v>
      </c>
      <c r="AK30" s="91">
        <f>COUNTIF(E30:AI30, "ВП")</f>
        <v>0</v>
      </c>
      <c r="AL30" s="95">
        <f>COUNTIF(E30:AI30, "ВД")</f>
        <v>0</v>
      </c>
      <c r="AM30" s="91">
        <f>SumBoldNumbers(E30:AI30)</f>
        <v>0</v>
      </c>
      <c r="AN30" s="91">
        <f>SUM(CountWeekendDays(E10)+COUNTIF(E30:AI30,"С"))</f>
        <v>9</v>
      </c>
      <c r="AO30" s="96">
        <f>SUM(E30:AI30)</f>
        <v>0</v>
      </c>
      <c r="AP30" s="93">
        <f>(DAY(EOMONTH(E10, 0)) - AN30 - AK30) * AU30  * D30</f>
        <v>0</v>
      </c>
      <c r="AQ30" s="94">
        <f t="shared" si="6"/>
        <v>0</v>
      </c>
      <c r="AR30" s="101" t="e">
        <f t="shared" si="3"/>
        <v>#DIV/0!</v>
      </c>
      <c r="AU30" s="29">
        <f>IF(C30="вихователь", 6, IF(C30="каштелян", 8, IF(C30="буфетниця", 8, IF(C30="молодша м/с", 8, IF(C30="сестр. госп.", 8, 7.7)))))</f>
        <v>7.7</v>
      </c>
      <c r="BA30" s="18">
        <f>A30</f>
        <v>20</v>
      </c>
      <c r="BB30" s="107">
        <f>B30</f>
        <v>0</v>
      </c>
      <c r="BC30" s="103">
        <f>C30</f>
        <v>0</v>
      </c>
      <c r="BD30" s="104" t="str">
        <f>IF(ISNUMBER(E30), IF(IsBold(E30), TIME(0,0,0), TIME(8,0,0)), "")</f>
        <v/>
      </c>
      <c r="BE30" s="105" t="str">
        <f>IF(BD30=TIME(0,0,0), BD30 + (E30/24),
 IF(AND(E30&gt;6, E30&lt;10, BD30&gt;=TIME(8,0,0), BD30&lt;TIME(21,0,0)), BD30 + ((E30+0.5)/24),
 IF(AND(E30&gt;10, E30&lt;16.1, BD30&gt;=TIME(7,59,0), BD30&lt;TIME(16,0,0)), BD30 + (E30/24), "")))</f>
        <v/>
      </c>
      <c r="BF30" s="105" t="str">
        <f>IF(ISNUMBER(F30), IF(IsBold(F30), TIME(0,0,0), TIME(8,0,0)), "")</f>
        <v/>
      </c>
      <c r="BG30" s="105" t="str">
        <f>IF(BF30=TIME(0,0,0), BF30 + (F30/24),
 IF(AND(F30&gt;6, F30&lt;10, BF30&gt;=TIME(8,0,0), BF30&lt;TIME(21,0,0)), BF30 + ((F30+0.5)/24),
 IF(AND(F30&gt;10, F30&lt;16.1, BF30&gt;=TIME(7,59,0), BF30&lt;TIME(16,0,0)), BF30 + (F30/24), "")))</f>
        <v/>
      </c>
      <c r="BH30" s="105" t="str">
        <f>IF(ISNUMBER(G30), IF(IsBold(G30), TIME(0,0,0), TIME(8,0,0)), "")</f>
        <v/>
      </c>
      <c r="BI30" s="105" t="str">
        <f>IF(BH30=TIME(0,0,0), BH30 + (G30/24),
 IF(AND(G30&gt;6, G30&lt;10, BH30&gt;=TIME(8,0,0), BH30&lt;TIME(21,0,0)), BH30 + ((G30+0.5)/24),
 IF(AND(G30&gt;10, G30&lt;16.1, BH30&gt;=TIME(7,59,0), BH30&lt;TIME(16,0,0)), BH30 + (G30/24), "")))</f>
        <v/>
      </c>
      <c r="BJ30" s="105" t="str">
        <f>IF(ISNUMBER(H30), IF(IsBold(H30), TIME(0,0,0), TIME(8,0,0)), "")</f>
        <v/>
      </c>
      <c r="BK30" s="105" t="str">
        <f>IF(BJ30=TIME(0,0,0), BJ30 + (H30/24),
 IF(AND(H30&gt;6, H30&lt;10, BJ30&gt;=TIME(8,0,0), BJ30&lt;TIME(21,0,0)), BJ30 + ((H30+0.5)/24),
 IF(AND(H30&gt;10, H30&lt;16.1, BJ30&gt;=TIME(7,59,0), BJ30&lt;TIME(16,0,0)), BJ30 + (H30/24), "")))</f>
        <v/>
      </c>
      <c r="BL30" s="105" t="str">
        <f>IF(ISNUMBER(I30), IF(IsBold(I30), TIME(0,0,0), TIME(8,0,0)), "")</f>
        <v/>
      </c>
      <c r="BM30" s="105" t="str">
        <f>IF(BL30=TIME(0,0,0), BL30 + (I30/24),
 IF(AND(I30&gt;6, I30&lt;10, BL30&gt;=TIME(8,0,0), BL30&lt;TIME(21,0,0)), BL30 + ((I30+0.5)/24),
 IF(AND(I30&gt;10, I30&lt;16.1, BL30&gt;=TIME(7,59,0), BL30&lt;TIME(16,0,0)), BL30 + (I30/24), "")))</f>
        <v/>
      </c>
      <c r="BN30" s="105" t="str">
        <f>IF(ISNUMBER(J30), IF(IsBold(J30), TIME(0,0,0), TIME(8,0,0)), "")</f>
        <v/>
      </c>
      <c r="BO30" s="105" t="str">
        <f>IF(BN30=TIME(0,0,0), BN30 + (J30/24),
 IF(AND(J30&gt;6, J30&lt;10, BN30&gt;=TIME(8,0,0), BN30&lt;TIME(21,0,0)), BN30 + ((J30+0.5)/24),
 IF(AND(J30&gt;10, J30&lt;16.1, BN30&gt;=TIME(7,59,0), BN30&lt;TIME(16,0,0)), BN30 + (J30/24), "")))</f>
        <v/>
      </c>
      <c r="BP30" s="105" t="str">
        <f>IF(ISNUMBER(K30), IF(IsBold(K30), TIME(0,0,0), TIME(8,0,0)), "")</f>
        <v/>
      </c>
      <c r="BQ30" s="105" t="str">
        <f>IF(BP30=TIME(0,0,0), BP30 + (K30/24),
 IF(AND(K30&gt;6, K30&lt;10, BP30&gt;=TIME(8,0,0), BP30&lt;TIME(21,0,0)), BP30 + ((K30+0.5)/24),
 IF(AND(K30&gt;10, K30&lt;16.1, BP30&gt;=TIME(7,59,0), BP30&lt;TIME(16,0,0)), BP30 + (K30/24), "")))</f>
        <v/>
      </c>
      <c r="BR30" s="106" t="str">
        <f>IF(ISNUMBER(L30), IF(IsBold(L30), TIME(0,0,0), TIME(8,0,0)), "")</f>
        <v/>
      </c>
      <c r="BS30" s="105" t="str">
        <f>IF(BR30=TIME(0,0,0), BR30 + (L30/24),
 IF(AND(L30&gt;6, L30&lt;10, BR30&gt;=TIME(8,0,0), BR30&lt;TIME(21,0,0)), BR30 + ((L30+0.5)/24),
 IF(AND(L30&gt;10, L30&lt;16.1, BR30&gt;=TIME(7,59,0), BR30&lt;TIME(16,0,0)), BR30 + (L30/24), "")))</f>
        <v/>
      </c>
      <c r="BT30" s="106" t="str">
        <f>IF(ISNUMBER(M30), IF(IsBold(M30), TIME(0,0,0), TIME(8,0,0)), "")</f>
        <v/>
      </c>
      <c r="BU30" s="105" t="str">
        <f>IF(BT30=TIME(0,0,0), BT30 + (M30/24),
 IF(AND(M30&gt;6, M30&lt;10, BT30&gt;=TIME(8,0,0), BT30&lt;TIME(21,0,0)), BT30 + ((M30+0.5)/24),
 IF(AND(M30&gt;10, M30&lt;16.1, BT30&gt;=TIME(7,59,0), BT30&lt;TIME(16,0,0)), BT30 + (M30/24), "")))</f>
        <v/>
      </c>
      <c r="BV30" s="105" t="str">
        <f>IF(ISNUMBER(N30), IF(IsBold(N30), TIME(0,0,0), TIME(8,0,0)), "")</f>
        <v/>
      </c>
      <c r="BW30" s="105" t="str">
        <f>IF(BV30=TIME(0,0,0), BV30 + (N30/24),
 IF(AND(N30&gt;6, N30&lt;10, BV30&gt;=TIME(8,0,0), BV30&lt;TIME(21,0,0)), BV30 + ((N30+0.5)/24),
 IF(AND(N30&gt;10, N30&lt;16.1, BV30&gt;=TIME(7,59,0), BV30&lt;TIME(16,0,0)), BV30 + (N30/24), "")))</f>
        <v/>
      </c>
      <c r="BX30" s="105" t="str">
        <f>IF(ISNUMBER(O30), IF(IsBold(O30), TIME(0,0,0), TIME(8,0,0)), "")</f>
        <v/>
      </c>
      <c r="BY30" s="105" t="str">
        <f>IF(BX30=TIME(0,0,0), BX30 + (O30/24),
 IF(AND(O30&gt;6, O30&lt;10, BX30&gt;=TIME(8,0,0), BX30&lt;TIME(21,0,0)), BX30 + ((O30+0.5)/24),
 IF(AND(O30&gt;10, O30&lt;16.1, BX30&gt;=TIME(7,59,0), BX30&lt;TIME(16,0,0)), BX30 + (O30/24), "")))</f>
        <v/>
      </c>
      <c r="BZ30" s="105" t="str">
        <f>IF(ISNUMBER(P30), IF(IsBold(P30), TIME(0,0,0), TIME(8,0,0)), "")</f>
        <v/>
      </c>
      <c r="CA30" s="105" t="str">
        <f>IF(BZ30=TIME(0,0,0), BZ30 + (P30/24),
 IF(AND(P30&gt;6, P30&lt;10, BZ30&gt;=TIME(8,0,0), BZ30&lt;TIME(21,0,0)), BZ30 + ((P30+0.5)/24),
 IF(AND(P30&gt;10, P30&lt;16.1, BZ30&gt;=TIME(7,59,0), BZ30&lt;TIME(16,0,0)), BZ30 + (P30/24), "")))</f>
        <v/>
      </c>
      <c r="CB30" s="105" t="str">
        <f>IF(ISNUMBER(Q30), IF(IsBold(Q30), TIME(0,0,0), TIME(8,0,0)), "")</f>
        <v/>
      </c>
      <c r="CC30" s="105" t="str">
        <f>IF(CB30=TIME(0,0,0), CB30 + (Q30/24),
 IF(AND(Q30&gt;6, Q30&lt;10, CB30&gt;=TIME(8,0,0), CB30&lt;TIME(21,0,0)), CB30 + ((Q30+0.5)/24),
 IF(AND(Q30&gt;10, Q30&lt;16.1, CB30&gt;=TIME(7,59,0), CB30&lt;TIME(16,0,0)), CB30 + (Q30/24), "")))</f>
        <v/>
      </c>
      <c r="CD30" s="105" t="str">
        <f>IF(ISNUMBER(R30), IF(IsBold(R30), TIME(0,0,0), TIME(8,0,0)), "")</f>
        <v/>
      </c>
      <c r="CE30" s="105" t="str">
        <f>IF(CD30=TIME(0,0,0), CD30 + (R30/24),
 IF(AND(R30&gt;6, R30&lt;10, CD30&gt;=TIME(8,0,0), CD30&lt;TIME(21,0,0)), CD30 + ((R30+0.5)/24),
 IF(AND(R30&gt;10, R30&lt;16.1, CD30&gt;=TIME(7,59,0), CD30&lt;TIME(16,0,0)), CD30 + (R30/24), "")))</f>
        <v/>
      </c>
      <c r="CF30" s="105" t="str">
        <f>IF(ISNUMBER(S30), IF(IsBold(S30), TIME(0,0,0), TIME(8,0,0)), "")</f>
        <v/>
      </c>
      <c r="CG30" s="105" t="str">
        <f>IF(CF30=TIME(0,0,0), CF30 + (S30/24),
 IF(AND(S30&gt;6, S30&lt;10, CF30&gt;=TIME(8,0,0), CF30&lt;TIME(21,0,0)), CF30 + ((S30+0.5)/24),
 IF(AND(S30&gt;10, S30&lt;16.1, CF30&gt;=TIME(7,59,0), CF30&lt;TIME(16,0,0)), CF30 + (S30/24), "")))</f>
        <v/>
      </c>
      <c r="CM30" s="18">
        <f>A30</f>
        <v>20</v>
      </c>
      <c r="CN30" s="107">
        <f>B30</f>
        <v>0</v>
      </c>
      <c r="CO30" s="103">
        <f>C30</f>
        <v>0</v>
      </c>
      <c r="CP30" s="104" t="str">
        <f>IF(ISNUMBER(T30), IF(IsBold(T30), TIME(0,0,0), TIME(8,0,0)), "")</f>
        <v/>
      </c>
      <c r="CQ30" s="105" t="str">
        <f>IF(CP30=TIME(0,0,0), CP30 + (T30/24),
 IF(AND(T30&gt;6, T30&lt;10, CP30&gt;=TIME(8,0,0), CP30&lt;TIME(21,0,0)), CP30 + ((T30+0.5)/24),
 IF(AND(T30&gt;10, T30&lt;16.1, CP30&gt;=TIME(7,59,0), CP30&lt;TIME(16,0,0)), CP30 + (T30/24), "")))</f>
        <v/>
      </c>
      <c r="CR30" s="104" t="str">
        <f>IF(ISNUMBER(U30), IF(IsBold(U30), TIME(0,0,0), TIME(8,0,0)), "")</f>
        <v/>
      </c>
      <c r="CS30" s="105" t="str">
        <f>IF(CR30=TIME(0,0,0), CR30 + (U30/24),
 IF(AND(U30&gt;6, U30&lt;10, CR30&gt;=TIME(8,0,0), CR30&lt;TIME(21,0,0)), CR30 + ((U30+0.5)/24),
 IF(AND(U30&gt;10, U30&lt;16.1, CR30&gt;=TIME(7,59,0), CR30&lt;TIME(16,0,0)), CR30 + (U30/24), "")))</f>
        <v/>
      </c>
      <c r="CT30" s="105" t="str">
        <f>IF(ISNUMBER(V30), IF(IsBold(V30), TIME(0,0,0), TIME(8,0,0)), "")</f>
        <v/>
      </c>
      <c r="CU30" s="105" t="str">
        <f>IF(CT30=TIME(0,0,0), CT30 + (V30/24),
 IF(AND(V30&gt;6, V30&lt;10, CT30&gt;=TIME(8,0,0), CT30&lt;TIME(21,0,0)), CT30 + ((V30+0.5)/24),
 IF(AND(V30&gt;10, V30&lt;16.1, CT30&gt;=TIME(7,59,0), CT30&lt;TIME(16,0,0)), CT30 + (V30/24), "")))</f>
        <v/>
      </c>
      <c r="CV30" s="105" t="str">
        <f>IF(ISNUMBER(W30), IF(IsBold(W30), TIME(0,0,0), TIME(8,0,0)), "")</f>
        <v/>
      </c>
      <c r="CW30" s="105" t="str">
        <f>IF(CV30=TIME(0,0,0), CV30 + (W30/24),
 IF(AND(W30&gt;6, W30&lt;10, CV30&gt;=TIME(8,0,0), CV30&lt;TIME(21,0,0)), CV30 + ((W30+0.5)/24),
 IF(AND(W30&gt;10, W30&lt;16.1, CV30&gt;=TIME(7,59,0), CV30&lt;TIME(16,0,0)), CV30 + (W30/24), "")))</f>
        <v/>
      </c>
      <c r="CX30" s="105" t="str">
        <f>IF(ISNUMBER(X30), IF(IsBold(X30), TIME(0,0,0), TIME(8,0,0)), "")</f>
        <v/>
      </c>
      <c r="CY30" s="105" t="str">
        <f>IF(CX30=TIME(0,0,0), CX30 + (X30/24),
 IF(AND(X30&gt;6, X30&lt;10, CX30&gt;=TIME(8,0,0), CX30&lt;TIME(21,0,0)), CX30 + ((X30+0.5)/24),
 IF(AND(X30&gt;10, X30&lt;16.1, CX30&gt;=TIME(7,59,0), CX30&lt;TIME(16,0,0)), CX30 + (X30/24), "")))</f>
        <v/>
      </c>
      <c r="CZ30" s="105" t="str">
        <f>IF(ISNUMBER(Y30), IF(IsBold(Y30), TIME(0,0,0), TIME(8,0,0)), "")</f>
        <v/>
      </c>
      <c r="DA30" s="105" t="str">
        <f>IF(CZ30=TIME(0,0,0), CZ30 + (Y30/24),
 IF(AND(Y30&gt;6, Y30&lt;10, CZ30&gt;=TIME(8,0,0), CZ30&lt;TIME(21,0,0)), CZ30 + ((Y30+0.5)/24),
 IF(AND(Y30&gt;10, Y30&lt;16.1, CZ30&gt;=TIME(7,59,0), CZ30&lt;TIME(16,0,0)), CZ30 + (Y30/24), "")))</f>
        <v/>
      </c>
      <c r="DB30" s="105" t="str">
        <f>IF(ISNUMBER(Z30), IF(IsBold(Z30), TIME(0,0,0), TIME(8,0,0)), "")</f>
        <v/>
      </c>
      <c r="DC30" s="105" t="str">
        <f>IF(DB30=TIME(0,0,0), DB30 + (Z30/24),
 IF(AND(Z30&gt;6, Z30&lt;10, DB30&gt;=TIME(8,0,0), DB30&lt;TIME(21,0,0)), DB30 + ((Z30+0.5)/24),
 IF(AND(Z30&gt;10, Z30&lt;16.1, DB30&gt;=TIME(7,59,0), DB30&lt;TIME(16,0,0)), DB30 + (Z30/24), "")))</f>
        <v/>
      </c>
      <c r="DD30" s="106" t="str">
        <f>IF(ISNUMBER(AA30), IF(IsBold(AA30), TIME(0,0,0), TIME(8,0,0)), "")</f>
        <v/>
      </c>
      <c r="DE30" s="105" t="str">
        <f>IF(DD30=TIME(0,0,0), DD30 + (AA30/24),
 IF(AND(AA30&gt;6, AA30&lt;10, DD30&gt;=TIME(8,0,0), DD30&lt;TIME(21,0,0)), DD30 + ((AA30+0.5)/24),
 IF(AND(AA30&gt;10, AA30&lt;16.1, DD30&gt;=TIME(7,59,0), DD30&lt;TIME(16,0,0)), DD30 + (AA30/24), "")))</f>
        <v/>
      </c>
      <c r="DF30" s="106" t="str">
        <f>IF(ISNUMBER(AB30), IF(IsBold(AB30), TIME(0,0,0), TIME(8,0,0)), "")</f>
        <v/>
      </c>
      <c r="DG30" s="105" t="str">
        <f>IF(DF30=TIME(0,0,0), DF30 + (AB30/24),
 IF(AND(AB30&gt;6, AB30&lt;10, DF30&gt;=TIME(8,0,0), DF30&lt;TIME(21,0,0)), DF30 + ((AB30+0.5)/24),
 IF(AND(AB30&gt;10, AB30&lt;16.1, DF30&gt;=TIME(7,59,0), DF30&lt;TIME(16,0,0)), DF30 + (AB30/24), "")))</f>
        <v/>
      </c>
      <c r="DH30" s="105" t="str">
        <f>IF(ISNUMBER(AC30), IF(IsBold(AC30), TIME(0,0,0), TIME(8,0,0)), "")</f>
        <v/>
      </c>
      <c r="DI30" s="105" t="str">
        <f>IF(DH30=TIME(0,0,0), DH30 + (AC30/24),
 IF(AND(AC30&gt;6, AC30&lt;10, DH30&gt;=TIME(8,0,0), DH30&lt;TIME(21,0,0)), DH30 + ((AC30+0.5)/24),
 IF(AND(AC30&gt;10, AC30&lt;16.1, DH30&gt;=TIME(7,59,0), DH30&lt;TIME(16,0,0)), DH30 + (AC30/24), "")))</f>
        <v/>
      </c>
      <c r="DJ30" s="105" t="str">
        <f>IF(ISNUMBER(AD30), IF(IsBold(AD30), TIME(0,0,0), TIME(8,0,0)), "")</f>
        <v/>
      </c>
      <c r="DK30" s="105" t="str">
        <f>IF(DJ30=TIME(0,0,0), DJ30 + (AD30/24),
 IF(AND(AD30&gt;6, AD30&lt;10, DJ30&gt;=TIME(8,0,0), DJ30&lt;TIME(21,0,0)), DJ30 + ((AD30+0.5)/24),
 IF(AND(AD30&gt;10, AD30&lt;16.1, DJ30&gt;=TIME(7,59,0), DJ30&lt;TIME(16,0,0)), DJ30 + (AD30/24), "")))</f>
        <v/>
      </c>
      <c r="DL30" s="105" t="str">
        <f>IF(ISNUMBER(AE30), IF(IsBold(AE30), TIME(0,0,0), TIME(8,0,0)), "")</f>
        <v/>
      </c>
      <c r="DM30" s="105" t="str">
        <f>IF(DL30=TIME(0,0,0), DL30 + (AE30/24),
 IF(AND(AE30&gt;6, AE30&lt;10, DL30&gt;=TIME(8,0,0), DL30&lt;TIME(21,0,0)), DL30 + ((AE30+0.5)/24),
 IF(AND(AE30&gt;10, AE30&lt;16.1, DL30&gt;=TIME(7,59,0), DL30&lt;TIME(16,0,0)), DL30 + (AE30/24), "")))</f>
        <v/>
      </c>
      <c r="DN30" s="105" t="str">
        <f>IF(ISNUMBER(AF30), IF(IsBold(AF30), TIME(0,0,0), TIME(8,0,0)), "")</f>
        <v/>
      </c>
      <c r="DO30" s="105" t="str">
        <f>IF(DN30=TIME(0,0,0), DN30 + (AF30/24),
 IF(AND(AF30&gt;6, AF30&lt;10, DN30&gt;=TIME(8,0,0), DN30&lt;TIME(21,0,0)), DN30 + ((AF30+0.5)/24),
 IF(AND(AF30&gt;10, AF30&lt;16.1, DN30&gt;=TIME(7,59,0), DN30&lt;TIME(16,0,0)), DN30 + (AF30/24), "")))</f>
        <v/>
      </c>
      <c r="DP30" s="105" t="str">
        <f>IF(ISNUMBER(AG30), IF(IsBold(AG30), TIME(0,0,0), TIME(8,0,0)), "")</f>
        <v/>
      </c>
      <c r="DQ30" s="105" t="str">
        <f>IF(DP30=TIME(0,0,0), DP30 + (AG30/24),
 IF(AND(AG30&gt;6, AG30&lt;10, DP30&gt;=TIME(8,0,0), DP30&lt;TIME(21,0,0)), DP30 + ((AG30+0.5)/24),
 IF(AND(AG30&gt;10, AG30&lt;16.1, DP30&gt;=TIME(7,59,0), DP30&lt;TIME(16,0,0)), DP30 + (AG30/24), "")))</f>
        <v/>
      </c>
      <c r="DR30" s="105" t="str">
        <f>IF(ISNUMBER(AH30), IF(IsBold(AH30), TIME(0,0,0), TIME(8,0,0)), "")</f>
        <v/>
      </c>
      <c r="DS30" s="105" t="str">
        <f>IF(DR30=TIME(0,0,0), DR30 + (AH30/24),
 IF(AND(AH30&gt;6, AH30&lt;10, DR30&gt;=TIME(8,0,0), DR30&lt;TIME(21,0,0)), DR30 + ((AH30+0.5)/24),
 IF(AND(AH30&gt;10, AH30&lt;16.1, DR30&gt;=TIME(7,59,0), DR30&lt;TIME(16,0,0)), DR30 + (AH30/24), "")))</f>
        <v/>
      </c>
      <c r="DT30" s="105" t="str">
        <f>IF(ISNUMBER(AI30), IF(IsBold(AI30), TIME(0,0,0), TIME(8,0,0)), "")</f>
        <v/>
      </c>
      <c r="DU30" s="105" t="str">
        <f>IF(DT30=TIME(0,0,0), DT30 + (AI30/24),
 IF(AND(AI30&gt;6, AI30&lt;10, DT30&gt;=TIME(8,0,0), DT30&lt;TIME(21,0,0)), DT30 + ((AI30+0.5)/24),
 IF(AND(AI30&gt;10, AI30&lt;16.1, DT30&gt;=TIME(7,59,0), DT30&lt;TIME(16,0,0)), DT30 + (AI30/24), "")))</f>
        <v/>
      </c>
      <c r="DV30" s="110">
        <f t="shared" si="2"/>
        <v>0</v>
      </c>
    </row>
    <row r="31" spans="1:126" ht="15" thickBot="1" x14ac:dyDescent="0.35">
      <c r="A31" s="13">
        <v>21</v>
      </c>
      <c r="B31" s="76"/>
      <c r="C31" s="77"/>
      <c r="D31" s="78"/>
      <c r="E31" s="74"/>
      <c r="F31" s="82"/>
      <c r="G31" s="83"/>
      <c r="H31" s="84"/>
      <c r="I31" s="82"/>
      <c r="J31" s="82"/>
      <c r="K31" s="83"/>
      <c r="L31" s="84"/>
      <c r="M31" s="82"/>
      <c r="N31" s="82"/>
      <c r="O31" s="83"/>
      <c r="P31" s="84"/>
      <c r="Q31" s="82"/>
      <c r="R31" s="82"/>
      <c r="S31" s="83"/>
      <c r="T31" s="84"/>
      <c r="U31" s="82"/>
      <c r="V31" s="82"/>
      <c r="W31" s="83"/>
      <c r="X31" s="84"/>
      <c r="Y31" s="82"/>
      <c r="Z31" s="82"/>
      <c r="AA31" s="83"/>
      <c r="AB31" s="84"/>
      <c r="AC31" s="82"/>
      <c r="AD31" s="82"/>
      <c r="AE31" s="83"/>
      <c r="AF31" s="84"/>
      <c r="AG31" s="74"/>
      <c r="AH31" s="74"/>
      <c r="AI31" s="74"/>
      <c r="AJ31" s="90">
        <f>COUNTIFS(E31:AI31,"&gt;0", E31:AI31,"&lt;&gt;"&amp;"")</f>
        <v>0</v>
      </c>
      <c r="AK31" s="91">
        <f>COUNTIF(E31:AI31, "ВП")</f>
        <v>0</v>
      </c>
      <c r="AL31" s="95">
        <f>COUNTIF(E31:AI31, "ВД")</f>
        <v>0</v>
      </c>
      <c r="AM31" s="91">
        <f>SumBoldNumbers(E31:AI31)</f>
        <v>0</v>
      </c>
      <c r="AN31" s="91">
        <f>SUM(CountWeekendDays(E10)+COUNTIF(E31:AI31,"С"))</f>
        <v>9</v>
      </c>
      <c r="AO31" s="96">
        <f>SUM(E31:AI31)</f>
        <v>0</v>
      </c>
      <c r="AP31" s="93">
        <f>(DAY(EOMONTH(E10, 0)) - AN31 - AK31) * AU31  * D31</f>
        <v>0</v>
      </c>
      <c r="AQ31" s="94">
        <f t="shared" si="6"/>
        <v>0</v>
      </c>
      <c r="AR31" s="101" t="e">
        <f t="shared" si="3"/>
        <v>#DIV/0!</v>
      </c>
      <c r="AU31" s="29">
        <f>IF(C31="вихователь", 6, IF(C31="каштелян", 8, IF(C31="буфетниця", 8, IF(C31="молодша м/с", 8, IF(C31="сестр. госп.", 8, 7.7)))))</f>
        <v>7.7</v>
      </c>
      <c r="BA31" s="18">
        <f>A31</f>
        <v>21</v>
      </c>
      <c r="BB31" s="107">
        <f>B31</f>
        <v>0</v>
      </c>
      <c r="BC31" s="103">
        <f>C31</f>
        <v>0</v>
      </c>
      <c r="BD31" s="104" t="str">
        <f>IF(ISNUMBER(E31), IF(IsBold(E31), TIME(0,0,0), TIME(8,0,0)), "")</f>
        <v/>
      </c>
      <c r="BE31" s="105" t="str">
        <f>IF(BD31=TIME(0,0,0), BD31 + (E31/24),
 IF(AND(E31&gt;6, E31&lt;10, BD31&gt;=TIME(8,0,0), BD31&lt;TIME(21,0,0)), BD31 + ((E31+0.5)/24),
 IF(AND(E31&gt;10, E31&lt;16.1, BD31&gt;=TIME(7,59,0), BD31&lt;TIME(16,0,0)), BD31 + (E31/24), "")))</f>
        <v/>
      </c>
      <c r="BF31" s="105" t="str">
        <f>IF(ISNUMBER(F31), IF(IsBold(F31), TIME(0,0,0), TIME(8,0,0)), "")</f>
        <v/>
      </c>
      <c r="BG31" s="105" t="str">
        <f>IF(BF31=TIME(0,0,0), BF31 + (F31/24),
 IF(AND(F31&gt;6, F31&lt;10, BF31&gt;=TIME(8,0,0), BF31&lt;TIME(21,0,0)), BF31 + ((F31+0.5)/24),
 IF(AND(F31&gt;10, F31&lt;16.1, BF31&gt;=TIME(7,59,0), BF31&lt;TIME(16,0,0)), BF31 + (F31/24), "")))</f>
        <v/>
      </c>
      <c r="BH31" s="105" t="str">
        <f>IF(ISNUMBER(G31), IF(IsBold(G31), TIME(0,0,0), TIME(8,0,0)), "")</f>
        <v/>
      </c>
      <c r="BI31" s="105" t="str">
        <f>IF(BH31=TIME(0,0,0), BH31 + (G31/24),
 IF(AND(G31&gt;6, G31&lt;10, BH31&gt;=TIME(8,0,0), BH31&lt;TIME(21,0,0)), BH31 + ((G31+0.5)/24),
 IF(AND(G31&gt;10, G31&lt;16.1, BH31&gt;=TIME(7,59,0), BH31&lt;TIME(16,0,0)), BH31 + (G31/24), "")))</f>
        <v/>
      </c>
      <c r="BJ31" s="105" t="str">
        <f>IF(ISNUMBER(H31), IF(IsBold(H31), TIME(0,0,0), TIME(8,0,0)), "")</f>
        <v/>
      </c>
      <c r="BK31" s="105" t="str">
        <f>IF(BJ31=TIME(0,0,0), BJ31 + (H31/24),
 IF(AND(H31&gt;6, H31&lt;10, BJ31&gt;=TIME(8,0,0), BJ31&lt;TIME(21,0,0)), BJ31 + ((H31+0.5)/24),
 IF(AND(H31&gt;10, H31&lt;16.1, BJ31&gt;=TIME(7,59,0), BJ31&lt;TIME(16,0,0)), BJ31 + (H31/24), "")))</f>
        <v/>
      </c>
      <c r="BL31" s="105" t="str">
        <f>IF(ISNUMBER(I31), IF(IsBold(I31), TIME(0,0,0), TIME(8,0,0)), "")</f>
        <v/>
      </c>
      <c r="BM31" s="105" t="str">
        <f>IF(BL31=TIME(0,0,0), BL31 + (I31/24),
 IF(AND(I31&gt;6, I31&lt;10, BL31&gt;=TIME(8,0,0), BL31&lt;TIME(21,0,0)), BL31 + ((I31+0.5)/24),
 IF(AND(I31&gt;10, I31&lt;16.1, BL31&gt;=TIME(7,59,0), BL31&lt;TIME(16,0,0)), BL31 + (I31/24), "")))</f>
        <v/>
      </c>
      <c r="BN31" s="105" t="str">
        <f>IF(ISNUMBER(J31), IF(IsBold(J31), TIME(0,0,0), TIME(8,0,0)), "")</f>
        <v/>
      </c>
      <c r="BO31" s="105" t="str">
        <f>IF(BN31=TIME(0,0,0), BN31 + (J31/24),
 IF(AND(J31&gt;6, J31&lt;10, BN31&gt;=TIME(8,0,0), BN31&lt;TIME(21,0,0)), BN31 + ((J31+0.5)/24),
 IF(AND(J31&gt;10, J31&lt;16.1, BN31&gt;=TIME(7,59,0), BN31&lt;TIME(16,0,0)), BN31 + (J31/24), "")))</f>
        <v/>
      </c>
      <c r="BP31" s="105" t="str">
        <f>IF(ISNUMBER(K31), IF(IsBold(K31), TIME(0,0,0), TIME(8,0,0)), "")</f>
        <v/>
      </c>
      <c r="BQ31" s="105" t="str">
        <f>IF(BP31=TIME(0,0,0), BP31 + (K31/24),
 IF(AND(K31&gt;6, K31&lt;10, BP31&gt;=TIME(8,0,0), BP31&lt;TIME(21,0,0)), BP31 + ((K31+0.5)/24),
 IF(AND(K31&gt;10, K31&lt;16.1, BP31&gt;=TIME(7,59,0), BP31&lt;TIME(16,0,0)), BP31 + (K31/24), "")))</f>
        <v/>
      </c>
      <c r="BR31" s="106" t="str">
        <f>IF(ISNUMBER(L31), IF(IsBold(L31), TIME(0,0,0), TIME(8,0,0)), "")</f>
        <v/>
      </c>
      <c r="BS31" s="105" t="str">
        <f>IF(BR31=TIME(0,0,0), BR31 + (L31/24),
 IF(AND(L31&gt;6, L31&lt;10, BR31&gt;=TIME(8,0,0), BR31&lt;TIME(21,0,0)), BR31 + ((L31+0.5)/24),
 IF(AND(L31&gt;10, L31&lt;16.1, BR31&gt;=TIME(7,59,0), BR31&lt;TIME(16,0,0)), BR31 + (L31/24), "")))</f>
        <v/>
      </c>
      <c r="BT31" s="106" t="str">
        <f>IF(ISNUMBER(M31), IF(IsBold(M31), TIME(0,0,0), TIME(8,0,0)), "")</f>
        <v/>
      </c>
      <c r="BU31" s="105" t="str">
        <f>IF(BT31=TIME(0,0,0), BT31 + (M31/24),
 IF(AND(M31&gt;6, M31&lt;10, BT31&gt;=TIME(8,0,0), BT31&lt;TIME(21,0,0)), BT31 + ((M31+0.5)/24),
 IF(AND(M31&gt;10, M31&lt;16.1, BT31&gt;=TIME(7,59,0), BT31&lt;TIME(16,0,0)), BT31 + (M31/24), "")))</f>
        <v/>
      </c>
      <c r="BV31" s="105" t="str">
        <f>IF(ISNUMBER(N31), IF(IsBold(N31), TIME(0,0,0), TIME(8,0,0)), "")</f>
        <v/>
      </c>
      <c r="BW31" s="105" t="str">
        <f>IF(BV31=TIME(0,0,0), BV31 + (N31/24),
 IF(AND(N31&gt;6, N31&lt;10, BV31&gt;=TIME(8,0,0), BV31&lt;TIME(21,0,0)), BV31 + ((N31+0.5)/24),
 IF(AND(N31&gt;10, N31&lt;16.1, BV31&gt;=TIME(7,59,0), BV31&lt;TIME(16,0,0)), BV31 + (N31/24), "")))</f>
        <v/>
      </c>
      <c r="BX31" s="105" t="str">
        <f>IF(ISNUMBER(O31), IF(IsBold(O31), TIME(0,0,0), TIME(8,0,0)), "")</f>
        <v/>
      </c>
      <c r="BY31" s="105" t="str">
        <f>IF(BX31=TIME(0,0,0), BX31 + (O31/24),
 IF(AND(O31&gt;6, O31&lt;10, BX31&gt;=TIME(8,0,0), BX31&lt;TIME(21,0,0)), BX31 + ((O31+0.5)/24),
 IF(AND(O31&gt;10, O31&lt;16.1, BX31&gt;=TIME(7,59,0), BX31&lt;TIME(16,0,0)), BX31 + (O31/24), "")))</f>
        <v/>
      </c>
      <c r="BZ31" s="105" t="str">
        <f>IF(ISNUMBER(P31), IF(IsBold(P31), TIME(0,0,0), TIME(8,0,0)), "")</f>
        <v/>
      </c>
      <c r="CA31" s="105" t="str">
        <f>IF(BZ31=TIME(0,0,0), BZ31 + (P31/24),
 IF(AND(P31&gt;6, P31&lt;10, BZ31&gt;=TIME(8,0,0), BZ31&lt;TIME(21,0,0)), BZ31 + ((P31+0.5)/24),
 IF(AND(P31&gt;10, P31&lt;16.1, BZ31&gt;=TIME(7,59,0), BZ31&lt;TIME(16,0,0)), BZ31 + (P31/24), "")))</f>
        <v/>
      </c>
      <c r="CB31" s="105" t="str">
        <f>IF(ISNUMBER(Q31), IF(IsBold(Q31), TIME(0,0,0), TIME(8,0,0)), "")</f>
        <v/>
      </c>
      <c r="CC31" s="105" t="str">
        <f>IF(CB31=TIME(0,0,0), CB31 + (Q31/24),
 IF(AND(Q31&gt;6, Q31&lt;10, CB31&gt;=TIME(8,0,0), CB31&lt;TIME(21,0,0)), CB31 + ((Q31+0.5)/24),
 IF(AND(Q31&gt;10, Q31&lt;16.1, CB31&gt;=TIME(7,59,0), CB31&lt;TIME(16,0,0)), CB31 + (Q31/24), "")))</f>
        <v/>
      </c>
      <c r="CD31" s="105" t="str">
        <f>IF(ISNUMBER(R31), IF(IsBold(R31), TIME(0,0,0), TIME(8,0,0)), "")</f>
        <v/>
      </c>
      <c r="CE31" s="105" t="str">
        <f>IF(CD31=TIME(0,0,0), CD31 + (R31/24),
 IF(AND(R31&gt;6, R31&lt;10, CD31&gt;=TIME(8,0,0), CD31&lt;TIME(21,0,0)), CD31 + ((R31+0.5)/24),
 IF(AND(R31&gt;10, R31&lt;16.1, CD31&gt;=TIME(7,59,0), CD31&lt;TIME(16,0,0)), CD31 + (R31/24), "")))</f>
        <v/>
      </c>
      <c r="CF31" s="105" t="str">
        <f>IF(ISNUMBER(S31), IF(IsBold(S31), TIME(0,0,0), TIME(8,0,0)), "")</f>
        <v/>
      </c>
      <c r="CG31" s="105" t="str">
        <f>IF(CF31=TIME(0,0,0), CF31 + (S31/24),
 IF(AND(S31&gt;6, S31&lt;10, CF31&gt;=TIME(8,0,0), CF31&lt;TIME(21,0,0)), CF31 + ((S31+0.5)/24),
 IF(AND(S31&gt;10, S31&lt;16.1, CF31&gt;=TIME(7,59,0), CF31&lt;TIME(16,0,0)), CF31 + (S31/24), "")))</f>
        <v/>
      </c>
      <c r="CM31" s="18">
        <f>A31</f>
        <v>21</v>
      </c>
      <c r="CN31" s="107">
        <f>B31</f>
        <v>0</v>
      </c>
      <c r="CO31" s="103">
        <f>C31</f>
        <v>0</v>
      </c>
      <c r="CP31" s="104" t="str">
        <f>IF(ISNUMBER(T31), IF(IsBold(T31), TIME(0,0,0), TIME(8,0,0)), "")</f>
        <v/>
      </c>
      <c r="CQ31" s="105" t="str">
        <f>IF(CP31=TIME(0,0,0), CP31 + (T31/24),
 IF(AND(T31&gt;6, T31&lt;10, CP31&gt;=TIME(8,0,0), CP31&lt;TIME(21,0,0)), CP31 + ((T31+0.5)/24),
 IF(AND(T31&gt;10, T31&lt;16.1, CP31&gt;=TIME(7,59,0), CP31&lt;TIME(16,0,0)), CP31 + (T31/24), "")))</f>
        <v/>
      </c>
      <c r="CR31" s="104" t="str">
        <f>IF(ISNUMBER(U31), IF(IsBold(U31), TIME(0,0,0), TIME(8,0,0)), "")</f>
        <v/>
      </c>
      <c r="CS31" s="105" t="str">
        <f>IF(CR31=TIME(0,0,0), CR31 + (U31/24),
 IF(AND(U31&gt;6, U31&lt;10, CR31&gt;=TIME(8,0,0), CR31&lt;TIME(21,0,0)), CR31 + ((U31+0.5)/24),
 IF(AND(U31&gt;10, U31&lt;16.1, CR31&gt;=TIME(7,59,0), CR31&lt;TIME(16,0,0)), CR31 + (U31/24), "")))</f>
        <v/>
      </c>
      <c r="CT31" s="105" t="str">
        <f>IF(ISNUMBER(V31), IF(IsBold(V31), TIME(0,0,0), TIME(8,0,0)), "")</f>
        <v/>
      </c>
      <c r="CU31" s="105" t="str">
        <f>IF(CT31=TIME(0,0,0), CT31 + (V31/24),
 IF(AND(V31&gt;6, V31&lt;10, CT31&gt;=TIME(8,0,0), CT31&lt;TIME(21,0,0)), CT31 + ((V31+0.5)/24),
 IF(AND(V31&gt;10, V31&lt;16.1, CT31&gt;=TIME(7,59,0), CT31&lt;TIME(16,0,0)), CT31 + (V31/24), "")))</f>
        <v/>
      </c>
      <c r="CV31" s="105" t="str">
        <f>IF(ISNUMBER(W31), IF(IsBold(W31), TIME(0,0,0), TIME(8,0,0)), "")</f>
        <v/>
      </c>
      <c r="CW31" s="105" t="str">
        <f>IF(CV31=TIME(0,0,0), CV31 + (W31/24),
 IF(AND(W31&gt;6, W31&lt;10, CV31&gt;=TIME(8,0,0), CV31&lt;TIME(21,0,0)), CV31 + ((W31+0.5)/24),
 IF(AND(W31&gt;10, W31&lt;16.1, CV31&gt;=TIME(7,59,0), CV31&lt;TIME(16,0,0)), CV31 + (W31/24), "")))</f>
        <v/>
      </c>
      <c r="CX31" s="105" t="str">
        <f>IF(ISNUMBER(X31), IF(IsBold(X31), TIME(0,0,0), TIME(8,0,0)), "")</f>
        <v/>
      </c>
      <c r="CY31" s="105" t="str">
        <f>IF(CX31=TIME(0,0,0), CX31 + (X31/24),
 IF(AND(X31&gt;6, X31&lt;10, CX31&gt;=TIME(8,0,0), CX31&lt;TIME(21,0,0)), CX31 + ((X31+0.5)/24),
 IF(AND(X31&gt;10, X31&lt;16.1, CX31&gt;=TIME(7,59,0), CX31&lt;TIME(16,0,0)), CX31 + (X31/24), "")))</f>
        <v/>
      </c>
      <c r="CZ31" s="105" t="str">
        <f>IF(ISNUMBER(Y31), IF(IsBold(Y31), TIME(0,0,0), TIME(8,0,0)), "")</f>
        <v/>
      </c>
      <c r="DA31" s="105" t="str">
        <f>IF(CZ31=TIME(0,0,0), CZ31 + (Y31/24),
 IF(AND(Y31&gt;6, Y31&lt;10, CZ31&gt;=TIME(8,0,0), CZ31&lt;TIME(21,0,0)), CZ31 + ((Y31+0.5)/24),
 IF(AND(Y31&gt;10, Y31&lt;16.1, CZ31&gt;=TIME(7,59,0), CZ31&lt;TIME(16,0,0)), CZ31 + (Y31/24), "")))</f>
        <v/>
      </c>
      <c r="DB31" s="105" t="str">
        <f>IF(ISNUMBER(Z31), IF(IsBold(Z31), TIME(0,0,0), TIME(8,0,0)), "")</f>
        <v/>
      </c>
      <c r="DC31" s="105" t="str">
        <f>IF(DB31=TIME(0,0,0), DB31 + (Z31/24),
 IF(AND(Z31&gt;6, Z31&lt;10, DB31&gt;=TIME(8,0,0), DB31&lt;TIME(21,0,0)), DB31 + ((Z31+0.5)/24),
 IF(AND(Z31&gt;10, Z31&lt;16.1, DB31&gt;=TIME(7,59,0), DB31&lt;TIME(16,0,0)), DB31 + (Z31/24), "")))</f>
        <v/>
      </c>
      <c r="DD31" s="106" t="str">
        <f>IF(ISNUMBER(AA31), IF(IsBold(AA31), TIME(0,0,0), TIME(8,0,0)), "")</f>
        <v/>
      </c>
      <c r="DE31" s="105" t="str">
        <f>IF(DD31=TIME(0,0,0), DD31 + (AA31/24),
 IF(AND(AA31&gt;6, AA31&lt;10, DD31&gt;=TIME(8,0,0), DD31&lt;TIME(21,0,0)), DD31 + ((AA31+0.5)/24),
 IF(AND(AA31&gt;10, AA31&lt;16.1, DD31&gt;=TIME(7,59,0), DD31&lt;TIME(16,0,0)), DD31 + (AA31/24), "")))</f>
        <v/>
      </c>
      <c r="DF31" s="106" t="str">
        <f>IF(ISNUMBER(AB31), IF(IsBold(AB31), TIME(0,0,0), TIME(8,0,0)), "")</f>
        <v/>
      </c>
      <c r="DG31" s="105" t="str">
        <f>IF(DF31=TIME(0,0,0), DF31 + (AB31/24),
 IF(AND(AB31&gt;6, AB31&lt;10, DF31&gt;=TIME(8,0,0), DF31&lt;TIME(21,0,0)), DF31 + ((AB31+0.5)/24),
 IF(AND(AB31&gt;10, AB31&lt;16.1, DF31&gt;=TIME(7,59,0), DF31&lt;TIME(16,0,0)), DF31 + (AB31/24), "")))</f>
        <v/>
      </c>
      <c r="DH31" s="105" t="str">
        <f>IF(ISNUMBER(AC31), IF(IsBold(AC31), TIME(0,0,0), TIME(8,0,0)), "")</f>
        <v/>
      </c>
      <c r="DI31" s="105" t="str">
        <f>IF(DH31=TIME(0,0,0), DH31 + (AC31/24),
 IF(AND(AC31&gt;6, AC31&lt;10, DH31&gt;=TIME(8,0,0), DH31&lt;TIME(21,0,0)), DH31 + ((AC31+0.5)/24),
 IF(AND(AC31&gt;10, AC31&lt;16.1, DH31&gt;=TIME(7,59,0), DH31&lt;TIME(16,0,0)), DH31 + (AC31/24), "")))</f>
        <v/>
      </c>
      <c r="DJ31" s="105" t="str">
        <f>IF(ISNUMBER(AD31), IF(IsBold(AD31), TIME(0,0,0), TIME(8,0,0)), "")</f>
        <v/>
      </c>
      <c r="DK31" s="105" t="str">
        <f>IF(DJ31=TIME(0,0,0), DJ31 + (AD31/24),
 IF(AND(AD31&gt;6, AD31&lt;10, DJ31&gt;=TIME(8,0,0), DJ31&lt;TIME(21,0,0)), DJ31 + ((AD31+0.5)/24),
 IF(AND(AD31&gt;10, AD31&lt;16.1, DJ31&gt;=TIME(7,59,0), DJ31&lt;TIME(16,0,0)), DJ31 + (AD31/24), "")))</f>
        <v/>
      </c>
      <c r="DL31" s="105" t="str">
        <f>IF(ISNUMBER(AE31), IF(IsBold(AE31), TIME(0,0,0), TIME(8,0,0)), "")</f>
        <v/>
      </c>
      <c r="DM31" s="105" t="str">
        <f>IF(DL31=TIME(0,0,0), DL31 + (AE31/24),
 IF(AND(AE31&gt;6, AE31&lt;10, DL31&gt;=TIME(8,0,0), DL31&lt;TIME(21,0,0)), DL31 + ((AE31+0.5)/24),
 IF(AND(AE31&gt;10, AE31&lt;16.1, DL31&gt;=TIME(7,59,0), DL31&lt;TIME(16,0,0)), DL31 + (AE31/24), "")))</f>
        <v/>
      </c>
      <c r="DN31" s="105" t="str">
        <f>IF(ISNUMBER(AF31), IF(IsBold(AF31), TIME(0,0,0), TIME(8,0,0)), "")</f>
        <v/>
      </c>
      <c r="DO31" s="105" t="str">
        <f>IF(DN31=TIME(0,0,0), DN31 + (AF31/24),
 IF(AND(AF31&gt;6, AF31&lt;10, DN31&gt;=TIME(8,0,0), DN31&lt;TIME(21,0,0)), DN31 + ((AF31+0.5)/24),
 IF(AND(AF31&gt;10, AF31&lt;16.1, DN31&gt;=TIME(7,59,0), DN31&lt;TIME(16,0,0)), DN31 + (AF31/24), "")))</f>
        <v/>
      </c>
      <c r="DP31" s="105" t="str">
        <f>IF(ISNUMBER(AG31), IF(IsBold(AG31), TIME(0,0,0), TIME(8,0,0)), "")</f>
        <v/>
      </c>
      <c r="DQ31" s="105" t="str">
        <f>IF(DP31=TIME(0,0,0), DP31 + (AG31/24),
 IF(AND(AG31&gt;6, AG31&lt;10, DP31&gt;=TIME(8,0,0), DP31&lt;TIME(21,0,0)), DP31 + ((AG31+0.5)/24),
 IF(AND(AG31&gt;10, AG31&lt;16.1, DP31&gt;=TIME(7,59,0), DP31&lt;TIME(16,0,0)), DP31 + (AG31/24), "")))</f>
        <v/>
      </c>
      <c r="DR31" s="105" t="str">
        <f>IF(ISNUMBER(AH31), IF(IsBold(AH31), TIME(0,0,0), TIME(8,0,0)), "")</f>
        <v/>
      </c>
      <c r="DS31" s="105" t="str">
        <f>IF(DR31=TIME(0,0,0), DR31 + (AH31/24),
 IF(AND(AH31&gt;6, AH31&lt;10, DR31&gt;=TIME(8,0,0), DR31&lt;TIME(21,0,0)), DR31 + ((AH31+0.5)/24),
 IF(AND(AH31&gt;10, AH31&lt;16.1, DR31&gt;=TIME(7,59,0), DR31&lt;TIME(16,0,0)), DR31 + (AH31/24), "")))</f>
        <v/>
      </c>
      <c r="DT31" s="105" t="str">
        <f>IF(ISNUMBER(AI31), IF(IsBold(AI31), TIME(0,0,0), TIME(8,0,0)), "")</f>
        <v/>
      </c>
      <c r="DU31" s="105" t="str">
        <f>IF(DT31=TIME(0,0,0), DT31 + (AI31/24),
 IF(AND(AI31&gt;6, AI31&lt;10, DT31&gt;=TIME(8,0,0), DT31&lt;TIME(21,0,0)), DT31 + ((AI31+0.5)/24),
 IF(AND(AI31&gt;10, AI31&lt;16.1, DT31&gt;=TIME(7,59,0), DT31&lt;TIME(16,0,0)), DT31 + (AI31/24), "")))</f>
        <v/>
      </c>
      <c r="DV31" s="110">
        <f t="shared" si="2"/>
        <v>0</v>
      </c>
    </row>
    <row r="32" spans="1:126" ht="15" thickBot="1" x14ac:dyDescent="0.35">
      <c r="A32" s="14">
        <v>22</v>
      </c>
      <c r="B32" s="89"/>
      <c r="C32" s="77"/>
      <c r="D32" s="78"/>
      <c r="E32" s="74"/>
      <c r="F32" s="82"/>
      <c r="G32" s="83"/>
      <c r="H32" s="84"/>
      <c r="I32" s="82"/>
      <c r="J32" s="82"/>
      <c r="K32" s="83"/>
      <c r="L32" s="84"/>
      <c r="M32" s="82"/>
      <c r="N32" s="82"/>
      <c r="O32" s="83"/>
      <c r="P32" s="84"/>
      <c r="Q32" s="82"/>
      <c r="R32" s="82"/>
      <c r="S32" s="83"/>
      <c r="T32" s="84"/>
      <c r="U32" s="82"/>
      <c r="V32" s="82"/>
      <c r="W32" s="83"/>
      <c r="X32" s="84"/>
      <c r="Y32" s="82"/>
      <c r="Z32" s="82"/>
      <c r="AA32" s="83"/>
      <c r="AB32" s="84"/>
      <c r="AC32" s="82"/>
      <c r="AD32" s="82"/>
      <c r="AE32" s="83"/>
      <c r="AF32" s="84"/>
      <c r="AG32" s="74"/>
      <c r="AH32" s="74"/>
      <c r="AI32" s="74"/>
      <c r="AJ32" s="90">
        <f>COUNTIFS(E32:AI32,"&gt;0", E32:AI32,"&lt;&gt;"&amp;"")</f>
        <v>0</v>
      </c>
      <c r="AK32" s="91">
        <f>COUNTIF(E32:AI32, "ВП")</f>
        <v>0</v>
      </c>
      <c r="AL32" s="95">
        <f>COUNTIF(E32:AI32, "ВД")</f>
        <v>0</v>
      </c>
      <c r="AM32" s="91">
        <f>SumBoldNumbers(E32:AI32)</f>
        <v>0</v>
      </c>
      <c r="AN32" s="91">
        <f>SUM(CountWeekendDays(E10)+COUNTIF(E32:AI32,"С"))</f>
        <v>9</v>
      </c>
      <c r="AO32" s="96">
        <f>SUM(E32:AI32)</f>
        <v>0</v>
      </c>
      <c r="AP32" s="93">
        <f>(DAY(EOMONTH(E10, 0)) - AN32 - AK32) * AU32  * D32</f>
        <v>0</v>
      </c>
      <c r="AQ32" s="94">
        <f t="shared" si="6"/>
        <v>0</v>
      </c>
      <c r="AR32" s="101" t="e">
        <f t="shared" si="3"/>
        <v>#DIV/0!</v>
      </c>
      <c r="AU32" s="29">
        <f>IF(C32="вихователь", 6, IF(C32="каштелян", 8, IF(C32="буфетниця", 8, IF(C32="молодша м/с", 8, IF(C32="сестр. госп.", 8, 7.7)))))</f>
        <v>7.7</v>
      </c>
      <c r="BA32" s="18">
        <f>A32</f>
        <v>22</v>
      </c>
      <c r="BB32" s="102">
        <f>B32</f>
        <v>0</v>
      </c>
      <c r="BC32" s="103">
        <f>C32</f>
        <v>0</v>
      </c>
      <c r="BD32" s="104" t="str">
        <f>IF(ISNUMBER(E32), IF(IsBold(E32), TIME(0,0,0), TIME(8,0,0)), "")</f>
        <v/>
      </c>
      <c r="BE32" s="105" t="str">
        <f>IF(BD32=TIME(0,0,0), BD32 + (E32/24),
 IF(AND(E32&gt;6, E32&lt;10, BD32&gt;=TIME(8,0,0), BD32&lt;TIME(21,0,0)), BD32 + ((E32+0.5)/24),
 IF(AND(E32&gt;10, E32&lt;16.1, BD32&gt;=TIME(7,59,0), BD32&lt;TIME(16,0,0)), BD32 + (E32/24), "")))</f>
        <v/>
      </c>
      <c r="BF32" s="105" t="str">
        <f>IF(ISNUMBER(F32), IF(IsBold(F32), TIME(0,0,0), TIME(8,0,0)), "")</f>
        <v/>
      </c>
      <c r="BG32" s="105" t="str">
        <f>IF(BF32=TIME(0,0,0), BF32 + (F32/24),
 IF(AND(F32&gt;6, F32&lt;10, BF32&gt;=TIME(8,0,0), BF32&lt;TIME(21,0,0)), BF32 + ((F32+0.5)/24),
 IF(AND(F32&gt;10, F32&lt;16.1, BF32&gt;=TIME(7,59,0), BF32&lt;TIME(16,0,0)), BF32 + (F32/24), "")))</f>
        <v/>
      </c>
      <c r="BH32" s="105" t="str">
        <f>IF(ISNUMBER(G32), IF(IsBold(G32), TIME(0,0,0), TIME(8,0,0)), "")</f>
        <v/>
      </c>
      <c r="BI32" s="105" t="str">
        <f>IF(BH32=TIME(0,0,0), BH32 + (G32/24),
 IF(AND(G32&gt;6, G32&lt;10, BH32&gt;=TIME(8,0,0), BH32&lt;TIME(21,0,0)), BH32 + ((G32+0.5)/24),
 IF(AND(G32&gt;10, G32&lt;16.1, BH32&gt;=TIME(7,59,0), BH32&lt;TIME(16,0,0)), BH32 + (G32/24), "")))</f>
        <v/>
      </c>
      <c r="BJ32" s="105" t="str">
        <f>IF(ISNUMBER(H32), IF(IsBold(H32), TIME(0,0,0), TIME(8,0,0)), "")</f>
        <v/>
      </c>
      <c r="BK32" s="105" t="str">
        <f>IF(BJ32=TIME(0,0,0), BJ32 + (H32/24),
 IF(AND(H32&gt;6, H32&lt;10, BJ32&gt;=TIME(8,0,0), BJ32&lt;TIME(21,0,0)), BJ32 + ((H32+0.5)/24),
 IF(AND(H32&gt;10, H32&lt;16.1, BJ32&gt;=TIME(7,59,0), BJ32&lt;TIME(16,0,0)), BJ32 + (H32/24), "")))</f>
        <v/>
      </c>
      <c r="BL32" s="105" t="str">
        <f>IF(ISNUMBER(I32), IF(IsBold(I32), TIME(0,0,0), TIME(8,0,0)), "")</f>
        <v/>
      </c>
      <c r="BM32" s="105" t="str">
        <f>IF(BL32=TIME(0,0,0), BL32 + (I32/24),
 IF(AND(I32&gt;6, I32&lt;10, BL32&gt;=TIME(8,0,0), BL32&lt;TIME(21,0,0)), BL32 + ((I32+0.5)/24),
 IF(AND(I32&gt;10, I32&lt;16.1, BL32&gt;=TIME(7,59,0), BL32&lt;TIME(16,0,0)), BL32 + (I32/24), "")))</f>
        <v/>
      </c>
      <c r="BN32" s="105" t="str">
        <f>IF(ISNUMBER(J32), IF(IsBold(J32), TIME(0,0,0), TIME(8,0,0)), "")</f>
        <v/>
      </c>
      <c r="BO32" s="105" t="str">
        <f>IF(BN32=TIME(0,0,0), BN32 + (J32/24),
 IF(AND(J32&gt;6, J32&lt;10, BN32&gt;=TIME(8,0,0), BN32&lt;TIME(21,0,0)), BN32 + ((J32+0.5)/24),
 IF(AND(J32&gt;10, J32&lt;16.1, BN32&gt;=TIME(7,59,0), BN32&lt;TIME(16,0,0)), BN32 + (J32/24), "")))</f>
        <v/>
      </c>
      <c r="BP32" s="105" t="str">
        <f>IF(ISNUMBER(K32), IF(IsBold(K32), TIME(0,0,0), TIME(8,0,0)), "")</f>
        <v/>
      </c>
      <c r="BQ32" s="105" t="str">
        <f>IF(BP32=TIME(0,0,0), BP32 + (K32/24),
 IF(AND(K32&gt;6, K32&lt;10, BP32&gt;=TIME(8,0,0), BP32&lt;TIME(21,0,0)), BP32 + ((K32+0.5)/24),
 IF(AND(K32&gt;10, K32&lt;16.1, BP32&gt;=TIME(7,59,0), BP32&lt;TIME(16,0,0)), BP32 + (K32/24), "")))</f>
        <v/>
      </c>
      <c r="BR32" s="106" t="str">
        <f>IF(ISNUMBER(L32), IF(IsBold(L32), TIME(0,0,0), TIME(8,0,0)), "")</f>
        <v/>
      </c>
      <c r="BS32" s="105" t="str">
        <f>IF(BR32=TIME(0,0,0), BR32 + (L32/24),
 IF(AND(L32&gt;6, L32&lt;10, BR32&gt;=TIME(8,0,0), BR32&lt;TIME(21,0,0)), BR32 + ((L32+0.5)/24),
 IF(AND(L32&gt;10, L32&lt;16.1, BR32&gt;=TIME(7,59,0), BR32&lt;TIME(16,0,0)), BR32 + (L32/24), "")))</f>
        <v/>
      </c>
      <c r="BT32" s="106" t="str">
        <f>IF(ISNUMBER(M32), IF(IsBold(M32), TIME(0,0,0), TIME(8,0,0)), "")</f>
        <v/>
      </c>
      <c r="BU32" s="105" t="str">
        <f>IF(BT32=TIME(0,0,0), BT32 + (M32/24),
 IF(AND(M32&gt;6, M32&lt;10, BT32&gt;=TIME(8,0,0), BT32&lt;TIME(21,0,0)), BT32 + ((M32+0.5)/24),
 IF(AND(M32&gt;10, M32&lt;16.1, BT32&gt;=TIME(7,59,0), BT32&lt;TIME(16,0,0)), BT32 + (M32/24), "")))</f>
        <v/>
      </c>
      <c r="BV32" s="105" t="str">
        <f>IF(ISNUMBER(N32), IF(IsBold(N32), TIME(0,0,0), TIME(8,0,0)), "")</f>
        <v/>
      </c>
      <c r="BW32" s="105" t="str">
        <f>IF(BV32=TIME(0,0,0), BV32 + (N32/24),
 IF(AND(N32&gt;6, N32&lt;10, BV32&gt;=TIME(8,0,0), BV32&lt;TIME(21,0,0)), BV32 + ((N32+0.5)/24),
 IF(AND(N32&gt;10, N32&lt;16.1, BV32&gt;=TIME(7,59,0), BV32&lt;TIME(16,0,0)), BV32 + (N32/24), "")))</f>
        <v/>
      </c>
      <c r="BX32" s="105" t="str">
        <f>IF(ISNUMBER(O32), IF(IsBold(O32), TIME(0,0,0), TIME(8,0,0)), "")</f>
        <v/>
      </c>
      <c r="BY32" s="105" t="str">
        <f>IF(BX32=TIME(0,0,0), BX32 + (O32/24),
 IF(AND(O32&gt;6, O32&lt;10, BX32&gt;=TIME(8,0,0), BX32&lt;TIME(21,0,0)), BX32 + ((O32+0.5)/24),
 IF(AND(O32&gt;10, O32&lt;16.1, BX32&gt;=TIME(7,59,0), BX32&lt;TIME(16,0,0)), BX32 + (O32/24), "")))</f>
        <v/>
      </c>
      <c r="BZ32" s="105" t="str">
        <f>IF(ISNUMBER(P32), IF(IsBold(P32), TIME(0,0,0), TIME(8,0,0)), "")</f>
        <v/>
      </c>
      <c r="CA32" s="105" t="str">
        <f>IF(BZ32=TIME(0,0,0), BZ32 + (P32/24),
 IF(AND(P32&gt;6, P32&lt;10, BZ32&gt;=TIME(8,0,0), BZ32&lt;TIME(21,0,0)), BZ32 + ((P32+0.5)/24),
 IF(AND(P32&gt;10, P32&lt;16.1, BZ32&gt;=TIME(7,59,0), BZ32&lt;TIME(16,0,0)), BZ32 + (P32/24), "")))</f>
        <v/>
      </c>
      <c r="CB32" s="105" t="str">
        <f>IF(ISNUMBER(Q32), IF(IsBold(Q32), TIME(0,0,0), TIME(8,0,0)), "")</f>
        <v/>
      </c>
      <c r="CC32" s="105" t="str">
        <f>IF(CB32=TIME(0,0,0), CB32 + (Q32/24),
 IF(AND(Q32&gt;6, Q32&lt;10, CB32&gt;=TIME(8,0,0), CB32&lt;TIME(21,0,0)), CB32 + ((Q32+0.5)/24),
 IF(AND(Q32&gt;10, Q32&lt;16.1, CB32&gt;=TIME(7,59,0), CB32&lt;TIME(16,0,0)), CB32 + (Q32/24), "")))</f>
        <v/>
      </c>
      <c r="CD32" s="105" t="str">
        <f>IF(ISNUMBER(R32), IF(IsBold(R32), TIME(0,0,0), TIME(8,0,0)), "")</f>
        <v/>
      </c>
      <c r="CE32" s="105" t="str">
        <f>IF(CD32=TIME(0,0,0), CD32 + (R32/24),
 IF(AND(R32&gt;6, R32&lt;10, CD32&gt;=TIME(8,0,0), CD32&lt;TIME(21,0,0)), CD32 + ((R32+0.5)/24),
 IF(AND(R32&gt;10, R32&lt;16.1, CD32&gt;=TIME(7,59,0), CD32&lt;TIME(16,0,0)), CD32 + (R32/24), "")))</f>
        <v/>
      </c>
      <c r="CF32" s="105" t="str">
        <f>IF(ISNUMBER(S32), IF(IsBold(S32), TIME(0,0,0), TIME(8,0,0)), "")</f>
        <v/>
      </c>
      <c r="CG32" s="105" t="str">
        <f>IF(CF32=TIME(0,0,0), CF32 + (S32/24),
 IF(AND(S32&gt;6, S32&lt;10, CF32&gt;=TIME(8,0,0), CF32&lt;TIME(21,0,0)), CF32 + ((S32+0.5)/24),
 IF(AND(S32&gt;10, S32&lt;16.1, CF32&gt;=TIME(7,59,0), CF32&lt;TIME(16,0,0)), CF32 + (S32/24), "")))</f>
        <v/>
      </c>
      <c r="CM32" s="18">
        <f>A32</f>
        <v>22</v>
      </c>
      <c r="CN32" s="107">
        <f>B32</f>
        <v>0</v>
      </c>
      <c r="CO32" s="103">
        <f>C32</f>
        <v>0</v>
      </c>
      <c r="CP32" s="104" t="str">
        <f>IF(ISNUMBER(T32), IF(IsBold(T32), TIME(0,0,0), TIME(8,0,0)), "")</f>
        <v/>
      </c>
      <c r="CQ32" s="105" t="str">
        <f>IF(CP32=TIME(0,0,0), CP32 + (T32/24),
 IF(AND(T32&gt;6, T32&lt;10, CP32&gt;=TIME(8,0,0), CP32&lt;TIME(21,0,0)), CP32 + ((T32+0.5)/24),
 IF(AND(T32&gt;10, T32&lt;16.1, CP32&gt;=TIME(7,59,0), CP32&lt;TIME(16,0,0)), CP32 + (T32/24), "")))</f>
        <v/>
      </c>
      <c r="CR32" s="104" t="str">
        <f>IF(ISNUMBER(U32), IF(IsBold(U32), TIME(0,0,0), TIME(8,0,0)), "")</f>
        <v/>
      </c>
      <c r="CS32" s="105" t="str">
        <f>IF(CR32=TIME(0,0,0), CR32 + (U32/24),
 IF(AND(U32&gt;6, U32&lt;10, CR32&gt;=TIME(8,0,0), CR32&lt;TIME(21,0,0)), CR32 + ((U32+0.5)/24),
 IF(AND(U32&gt;10, U32&lt;16.1, CR32&gt;=TIME(7,59,0), CR32&lt;TIME(16,0,0)), CR32 + (U32/24), "")))</f>
        <v/>
      </c>
      <c r="CT32" s="105" t="str">
        <f>IF(ISNUMBER(V32), IF(IsBold(V32), TIME(0,0,0), TIME(8,0,0)), "")</f>
        <v/>
      </c>
      <c r="CU32" s="105" t="str">
        <f>IF(CT32=TIME(0,0,0), CT32 + (V32/24),
 IF(AND(V32&gt;6, V32&lt;10, CT32&gt;=TIME(8,0,0), CT32&lt;TIME(21,0,0)), CT32 + ((V32+0.5)/24),
 IF(AND(V32&gt;10, V32&lt;16.1, CT32&gt;=TIME(7,59,0), CT32&lt;TIME(16,0,0)), CT32 + (V32/24), "")))</f>
        <v/>
      </c>
      <c r="CV32" s="105" t="str">
        <f>IF(ISNUMBER(W32), IF(IsBold(W32), TIME(0,0,0), TIME(8,0,0)), "")</f>
        <v/>
      </c>
      <c r="CW32" s="105" t="str">
        <f>IF(CV32=TIME(0,0,0), CV32 + (W32/24),
 IF(AND(W32&gt;6, W32&lt;10, CV32&gt;=TIME(8,0,0), CV32&lt;TIME(21,0,0)), CV32 + ((W32+0.5)/24),
 IF(AND(W32&gt;10, W32&lt;16.1, CV32&gt;=TIME(7,59,0), CV32&lt;TIME(16,0,0)), CV32 + (W32/24), "")))</f>
        <v/>
      </c>
      <c r="CX32" s="105" t="str">
        <f>IF(ISNUMBER(X32), IF(IsBold(X32), TIME(0,0,0), TIME(8,0,0)), "")</f>
        <v/>
      </c>
      <c r="CY32" s="105" t="str">
        <f>IF(CX32=TIME(0,0,0), CX32 + (X32/24),
 IF(AND(X32&gt;6, X32&lt;10, CX32&gt;=TIME(8,0,0), CX32&lt;TIME(21,0,0)), CX32 + ((X32+0.5)/24),
 IF(AND(X32&gt;10, X32&lt;16.1, CX32&gt;=TIME(7,59,0), CX32&lt;TIME(16,0,0)), CX32 + (X32/24), "")))</f>
        <v/>
      </c>
      <c r="CZ32" s="105" t="str">
        <f>IF(ISNUMBER(Y32), IF(IsBold(Y32), TIME(0,0,0), TIME(8,0,0)), "")</f>
        <v/>
      </c>
      <c r="DA32" s="105" t="str">
        <f>IF(CZ32=TIME(0,0,0), CZ32 + (Y32/24),
 IF(AND(Y32&gt;6, Y32&lt;10, CZ32&gt;=TIME(8,0,0), CZ32&lt;TIME(21,0,0)), CZ32 + ((Y32+0.5)/24),
 IF(AND(Y32&gt;10, Y32&lt;16.1, CZ32&gt;=TIME(7,59,0), CZ32&lt;TIME(16,0,0)), CZ32 + (Y32/24), "")))</f>
        <v/>
      </c>
      <c r="DB32" s="105" t="str">
        <f>IF(ISNUMBER(Z32), IF(IsBold(Z32), TIME(0,0,0), TIME(8,0,0)), "")</f>
        <v/>
      </c>
      <c r="DC32" s="105" t="str">
        <f>IF(DB32=TIME(0,0,0), DB32 + (Z32/24),
 IF(AND(Z32&gt;6, Z32&lt;10, DB32&gt;=TIME(8,0,0), DB32&lt;TIME(21,0,0)), DB32 + ((Z32+0.5)/24),
 IF(AND(Z32&gt;10, Z32&lt;16.1, DB32&gt;=TIME(7,59,0), DB32&lt;TIME(16,0,0)), DB32 + (Z32/24), "")))</f>
        <v/>
      </c>
      <c r="DD32" s="106" t="str">
        <f>IF(ISNUMBER(AA32), IF(IsBold(AA32), TIME(0,0,0), TIME(8,0,0)), "")</f>
        <v/>
      </c>
      <c r="DE32" s="105" t="str">
        <f>IF(DD32=TIME(0,0,0), DD32 + (AA32/24),
 IF(AND(AA32&gt;6, AA32&lt;10, DD32&gt;=TIME(8,0,0), DD32&lt;TIME(21,0,0)), DD32 + ((AA32+0.5)/24),
 IF(AND(AA32&gt;10, AA32&lt;16.1, DD32&gt;=TIME(7,59,0), DD32&lt;TIME(16,0,0)), DD32 + (AA32/24), "")))</f>
        <v/>
      </c>
      <c r="DF32" s="106" t="str">
        <f>IF(ISNUMBER(AB32), IF(IsBold(AB32), TIME(0,0,0), TIME(8,0,0)), "")</f>
        <v/>
      </c>
      <c r="DG32" s="105" t="str">
        <f>IF(DF32=TIME(0,0,0), DF32 + (AB32/24),
 IF(AND(AB32&gt;6, AB32&lt;10, DF32&gt;=TIME(8,0,0), DF32&lt;TIME(21,0,0)), DF32 + ((AB32+0.5)/24),
 IF(AND(AB32&gt;10, AB32&lt;16.1, DF32&gt;=TIME(7,59,0), DF32&lt;TIME(16,0,0)), DF32 + (AB32/24), "")))</f>
        <v/>
      </c>
      <c r="DH32" s="105" t="str">
        <f>IF(ISNUMBER(AC32), IF(IsBold(AC32), TIME(0,0,0), TIME(8,0,0)), "")</f>
        <v/>
      </c>
      <c r="DI32" s="105" t="str">
        <f>IF(DH32=TIME(0,0,0), DH32 + (AC32/24),
 IF(AND(AC32&gt;6, AC32&lt;10, DH32&gt;=TIME(8,0,0), DH32&lt;TIME(21,0,0)), DH32 + ((AC32+0.5)/24),
 IF(AND(AC32&gt;10, AC32&lt;16.1, DH32&gt;=TIME(7,59,0), DH32&lt;TIME(16,0,0)), DH32 + (AC32/24), "")))</f>
        <v/>
      </c>
      <c r="DJ32" s="105" t="str">
        <f>IF(ISNUMBER(AD32), IF(IsBold(AD32), TIME(0,0,0), TIME(8,0,0)), "")</f>
        <v/>
      </c>
      <c r="DK32" s="105" t="str">
        <f>IF(DJ32=TIME(0,0,0), DJ32 + (AD32/24),
 IF(AND(AD32&gt;6, AD32&lt;10, DJ32&gt;=TIME(8,0,0), DJ32&lt;TIME(21,0,0)), DJ32 + ((AD32+0.5)/24),
 IF(AND(AD32&gt;10, AD32&lt;16.1, DJ32&gt;=TIME(7,59,0), DJ32&lt;TIME(16,0,0)), DJ32 + (AD32/24), "")))</f>
        <v/>
      </c>
      <c r="DL32" s="105" t="str">
        <f>IF(ISNUMBER(AE32), IF(IsBold(AE32), TIME(0,0,0), TIME(8,0,0)), "")</f>
        <v/>
      </c>
      <c r="DM32" s="105" t="str">
        <f>IF(DL32=TIME(0,0,0), DL32 + (AE32/24),
 IF(AND(AE32&gt;6, AE32&lt;10, DL32&gt;=TIME(8,0,0), DL32&lt;TIME(21,0,0)), DL32 + ((AE32+0.5)/24),
 IF(AND(AE32&gt;10, AE32&lt;16.1, DL32&gt;=TIME(7,59,0), DL32&lt;TIME(16,0,0)), DL32 + (AE32/24), "")))</f>
        <v/>
      </c>
      <c r="DN32" s="105" t="str">
        <f>IF(ISNUMBER(AF32), IF(IsBold(AF32), TIME(0,0,0), TIME(8,0,0)), "")</f>
        <v/>
      </c>
      <c r="DO32" s="105" t="str">
        <f>IF(DN32=TIME(0,0,0), DN32 + (AF32/24),
 IF(AND(AF32&gt;6, AF32&lt;10, DN32&gt;=TIME(8,0,0), DN32&lt;TIME(21,0,0)), DN32 + ((AF32+0.5)/24),
 IF(AND(AF32&gt;10, AF32&lt;16.1, DN32&gt;=TIME(7,59,0), DN32&lt;TIME(16,0,0)), DN32 + (AF32/24), "")))</f>
        <v/>
      </c>
      <c r="DP32" s="105" t="str">
        <f>IF(ISNUMBER(AG32), IF(IsBold(AG32), TIME(0,0,0), TIME(8,0,0)), "")</f>
        <v/>
      </c>
      <c r="DQ32" s="105" t="str">
        <f>IF(DP32=TIME(0,0,0), DP32 + (AG32/24),
 IF(AND(AG32&gt;6, AG32&lt;10, DP32&gt;=TIME(8,0,0), DP32&lt;TIME(21,0,0)), DP32 + ((AG32+0.5)/24),
 IF(AND(AG32&gt;10, AG32&lt;16.1, DP32&gt;=TIME(7,59,0), DP32&lt;TIME(16,0,0)), DP32 + (AG32/24), "")))</f>
        <v/>
      </c>
      <c r="DR32" s="105" t="str">
        <f>IF(ISNUMBER(AH32), IF(IsBold(AH32), TIME(0,0,0), TIME(8,0,0)), "")</f>
        <v/>
      </c>
      <c r="DS32" s="105" t="str">
        <f>IF(DR32=TIME(0,0,0), DR32 + (AH32/24),
 IF(AND(AH32&gt;6, AH32&lt;10, DR32&gt;=TIME(8,0,0), DR32&lt;TIME(21,0,0)), DR32 + ((AH32+0.5)/24),
 IF(AND(AH32&gt;10, AH32&lt;16.1, DR32&gt;=TIME(7,59,0), DR32&lt;TIME(16,0,0)), DR32 + (AH32/24), "")))</f>
        <v/>
      </c>
      <c r="DT32" s="105" t="str">
        <f>IF(ISNUMBER(AI32), IF(IsBold(AI32), TIME(0,0,0), TIME(8,0,0)), "")</f>
        <v/>
      </c>
      <c r="DU32" s="105" t="str">
        <f>IF(DT32=TIME(0,0,0), DT32 + (AI32/24),
 IF(AND(AI32&gt;6, AI32&lt;10, DT32&gt;=TIME(8,0,0), DT32&lt;TIME(21,0,0)), DT32 + ((AI32+0.5)/24),
 IF(AND(AI32&gt;10, AI32&lt;16.1, DT32&gt;=TIME(7,59,0), DT32&lt;TIME(16,0,0)), DT32 + (AI32/24), "")))</f>
        <v/>
      </c>
      <c r="DV32" s="110">
        <f t="shared" si="2"/>
        <v>0</v>
      </c>
    </row>
    <row r="33" spans="1:125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66"/>
      <c r="AH33" s="66"/>
      <c r="AI33" s="66"/>
      <c r="AJ33" s="33"/>
      <c r="AK33" s="33"/>
      <c r="AL33" s="33"/>
      <c r="AM33" s="33"/>
      <c r="AN33" s="33"/>
      <c r="AP33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</row>
    <row r="34" spans="1:125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J34" s="34"/>
      <c r="AK34" s="34"/>
      <c r="AL34" s="34"/>
      <c r="AM34" s="34"/>
      <c r="AN34" s="34"/>
      <c r="AP34"/>
    </row>
    <row r="35" spans="1:125" ht="21" x14ac:dyDescent="0.4">
      <c r="A35" s="3"/>
      <c r="B35" s="3"/>
      <c r="C35" s="54" t="s">
        <v>46</v>
      </c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54" t="s">
        <v>47</v>
      </c>
      <c r="Y35" s="4"/>
      <c r="Z35" s="4"/>
      <c r="AA35" s="4"/>
      <c r="AB35" s="4"/>
      <c r="AC35" s="4"/>
      <c r="AD35" s="4"/>
      <c r="AE35" s="4"/>
      <c r="AF35" s="4"/>
      <c r="AG35" s="68"/>
      <c r="AH35" s="68"/>
      <c r="AI35" s="68"/>
      <c r="AJ35" s="4"/>
      <c r="AK35" s="4"/>
      <c r="AL35" s="4"/>
      <c r="AM35" s="4"/>
      <c r="AN35" s="3"/>
      <c r="AP35" s="3"/>
      <c r="AQ35" s="3"/>
      <c r="BA35" s="3"/>
      <c r="BB35" s="3"/>
      <c r="BC35" s="54" t="s">
        <v>46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54" t="s">
        <v>47</v>
      </c>
      <c r="BY35" s="4"/>
      <c r="BZ35" s="4"/>
      <c r="CA35" s="4"/>
      <c r="CB35" s="4"/>
      <c r="CM35" s="3"/>
      <c r="CN35" s="3"/>
      <c r="CO35" s="54" t="s">
        <v>46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54" t="s">
        <v>47</v>
      </c>
      <c r="DK35" s="4"/>
      <c r="DL35" s="4"/>
      <c r="DM35" s="4"/>
      <c r="DN35" s="4"/>
    </row>
  </sheetData>
  <sheetProtection algorithmName="SHA-512" hashValue="dKnJkRI3R2Hb5uutQX4YeDDurFneEsbN5Vwn5WY3kVAeJcbOXuqyCfXWS9dIBuOv/XQBVz/CecbTXfd2RcVUOA==" saltValue="RpS/N8HrW4nntN9lA2mrjw==" spinCount="100000" sheet="1" objects="1" scenarios="1" formatCells="0" selectLockedCells="1"/>
  <mergeCells count="49">
    <mergeCell ref="DV9:DV10"/>
    <mergeCell ref="DP9:DQ9"/>
    <mergeCell ref="DR9:DS9"/>
    <mergeCell ref="DT9:DU9"/>
    <mergeCell ref="CM9:CM10"/>
    <mergeCell ref="CN9:CN10"/>
    <mergeCell ref="CP9:CQ9"/>
    <mergeCell ref="DF9:DG9"/>
    <mergeCell ref="DH9:DI9"/>
    <mergeCell ref="DJ9:DK9"/>
    <mergeCell ref="DL9:DM9"/>
    <mergeCell ref="DN9:DO9"/>
    <mergeCell ref="CV9:CW9"/>
    <mergeCell ref="CX9:CY9"/>
    <mergeCell ref="CZ9:DA9"/>
    <mergeCell ref="DB9:DC9"/>
    <mergeCell ref="DD9:DE9"/>
    <mergeCell ref="CO9:CO10"/>
    <mergeCell ref="CR9:CS9"/>
    <mergeCell ref="CT9:CU9"/>
    <mergeCell ref="BH9:BI9"/>
    <mergeCell ref="BJ9:BK9"/>
    <mergeCell ref="BL9:BM9"/>
    <mergeCell ref="BN9:BO9"/>
    <mergeCell ref="BP9:BQ9"/>
    <mergeCell ref="CB9:CC9"/>
    <mergeCell ref="CD9:CE9"/>
    <mergeCell ref="CF9:CG9"/>
    <mergeCell ref="BR9:BS9"/>
    <mergeCell ref="BT9:BU9"/>
    <mergeCell ref="BV9:BW9"/>
    <mergeCell ref="BX9:BY9"/>
    <mergeCell ref="BZ9:CA9"/>
    <mergeCell ref="BC9:BC10"/>
    <mergeCell ref="BD9:BE9"/>
    <mergeCell ref="BF9:BG9"/>
    <mergeCell ref="AP9:AP10"/>
    <mergeCell ref="AQ9:AQ10"/>
    <mergeCell ref="AR9:AR10"/>
    <mergeCell ref="BA9:BA10"/>
    <mergeCell ref="BB9:BB10"/>
    <mergeCell ref="C9:C10"/>
    <mergeCell ref="AN9:AN10"/>
    <mergeCell ref="AO9:AO10"/>
    <mergeCell ref="A9:A10"/>
    <mergeCell ref="B9:B10"/>
    <mergeCell ref="D9:D10"/>
    <mergeCell ref="AJ9:AJ10"/>
    <mergeCell ref="AK9:AL9"/>
  </mergeCells>
  <conditionalFormatting sqref="E10">
    <cfRule type="expression" dxfId="30" priority="31">
      <formula>IsWeekend(E10)</formula>
    </cfRule>
  </conditionalFormatting>
  <conditionalFormatting sqref="F10">
    <cfRule type="expression" dxfId="29" priority="30">
      <formula>IsWeekend(F10)</formula>
    </cfRule>
  </conditionalFormatting>
  <conditionalFormatting sqref="G10">
    <cfRule type="expression" dxfId="28" priority="29">
      <formula>IsWeekend(G10)</formula>
    </cfRule>
  </conditionalFormatting>
  <conditionalFormatting sqref="H10">
    <cfRule type="expression" dxfId="27" priority="28">
      <formula>IsWeekend(H10)</formula>
    </cfRule>
  </conditionalFormatting>
  <conditionalFormatting sqref="I10">
    <cfRule type="expression" dxfId="26" priority="27">
      <formula>IsWeekend(I10)</formula>
    </cfRule>
  </conditionalFormatting>
  <conditionalFormatting sqref="J10">
    <cfRule type="expression" dxfId="25" priority="26">
      <formula>IsWeekend(J10)</formula>
    </cfRule>
  </conditionalFormatting>
  <conditionalFormatting sqref="K10">
    <cfRule type="expression" dxfId="24" priority="25">
      <formula>IsWeekend(K10)</formula>
    </cfRule>
  </conditionalFormatting>
  <conditionalFormatting sqref="L10">
    <cfRule type="expression" dxfId="23" priority="24">
      <formula>IsWeekend(L10)</formula>
    </cfRule>
  </conditionalFormatting>
  <conditionalFormatting sqref="M10">
    <cfRule type="expression" dxfId="22" priority="23">
      <formula>IsWeekend(M10)</formula>
    </cfRule>
  </conditionalFormatting>
  <conditionalFormatting sqref="N10">
    <cfRule type="expression" dxfId="21" priority="22">
      <formula>IsWeekend(N10)</formula>
    </cfRule>
  </conditionalFormatting>
  <conditionalFormatting sqref="O10">
    <cfRule type="expression" dxfId="20" priority="21">
      <formula>IsWeekend(O10)</formula>
    </cfRule>
  </conditionalFormatting>
  <conditionalFormatting sqref="P10">
    <cfRule type="expression" dxfId="19" priority="20">
      <formula>IsWeekend(P10)</formula>
    </cfRule>
  </conditionalFormatting>
  <conditionalFormatting sqref="Q10">
    <cfRule type="expression" dxfId="18" priority="19">
      <formula>IsWeekend(Q10)</formula>
    </cfRule>
  </conditionalFormatting>
  <conditionalFormatting sqref="R10">
    <cfRule type="expression" dxfId="17" priority="18">
      <formula>IsWeekend(R10)</formula>
    </cfRule>
  </conditionalFormatting>
  <conditionalFormatting sqref="S10">
    <cfRule type="expression" dxfId="16" priority="17">
      <formula>IsWeekend(S10)</formula>
    </cfRule>
  </conditionalFormatting>
  <conditionalFormatting sqref="T10">
    <cfRule type="expression" dxfId="15" priority="16">
      <formula>IsWeekend(T10)</formula>
    </cfRule>
  </conditionalFormatting>
  <conditionalFormatting sqref="U10">
    <cfRule type="expression" dxfId="14" priority="15">
      <formula>IsWeekend(U10)</formula>
    </cfRule>
  </conditionalFormatting>
  <conditionalFormatting sqref="V10">
    <cfRule type="expression" dxfId="13" priority="14">
      <formula>IsWeekend(V10)</formula>
    </cfRule>
  </conditionalFormatting>
  <conditionalFormatting sqref="W10">
    <cfRule type="expression" dxfId="12" priority="13">
      <formula>IsWeekend(W10)</formula>
    </cfRule>
  </conditionalFormatting>
  <conditionalFormatting sqref="X10">
    <cfRule type="expression" dxfId="11" priority="12">
      <formula>IsWeekend(X10)</formula>
    </cfRule>
  </conditionalFormatting>
  <conditionalFormatting sqref="Y10">
    <cfRule type="expression" dxfId="10" priority="11">
      <formula>IsWeekend(Y10)</formula>
    </cfRule>
  </conditionalFormatting>
  <conditionalFormatting sqref="Z10">
    <cfRule type="expression" dxfId="9" priority="10">
      <formula>IsWeekend(Z10)</formula>
    </cfRule>
  </conditionalFormatting>
  <conditionalFormatting sqref="AA10">
    <cfRule type="expression" dxfId="8" priority="9">
      <formula>IsWeekend(AA10)</formula>
    </cfRule>
  </conditionalFormatting>
  <conditionalFormatting sqref="AB10">
    <cfRule type="expression" dxfId="7" priority="8">
      <formula>IsWeekend(AB10)</formula>
    </cfRule>
  </conditionalFormatting>
  <conditionalFormatting sqref="AC10">
    <cfRule type="expression" dxfId="6" priority="7">
      <formula>IsWeekend(AC10)</formula>
    </cfRule>
  </conditionalFormatting>
  <conditionalFormatting sqref="AD10">
    <cfRule type="expression" dxfId="5" priority="6">
      <formula>IsWeekend(AD10)</formula>
    </cfRule>
  </conditionalFormatting>
  <conditionalFormatting sqref="AE10">
    <cfRule type="expression" dxfId="4" priority="5">
      <formula>IsWeekend(AE10)</formula>
    </cfRule>
  </conditionalFormatting>
  <conditionalFormatting sqref="AF10">
    <cfRule type="expression" dxfId="3" priority="4">
      <formula>IsWeekend(AF10)</formula>
    </cfRule>
  </conditionalFormatting>
  <conditionalFormatting sqref="AG10">
    <cfRule type="expression" dxfId="2" priority="3">
      <formula>IsWeekend(AG10)</formula>
    </cfRule>
  </conditionalFormatting>
  <conditionalFormatting sqref="AH10">
    <cfRule type="expression" dxfId="1" priority="2">
      <formula>IsWeekend(AH10)</formula>
    </cfRule>
  </conditionalFormatting>
  <conditionalFormatting sqref="AI10">
    <cfRule type="expression" dxfId="0" priority="1">
      <formula>IsWeekend(AI10)</formula>
    </cfRule>
  </conditionalFormatting>
  <dataValidations count="2">
    <dataValidation type="list" allowBlank="1" showInputMessage="1" showErrorMessage="1" sqref="D11:D32">
      <formula1>$AW$1:$AW$4</formula1>
    </dataValidation>
    <dataValidation type="list" allowBlank="1" showInputMessage="1" showErrorMessage="1" sqref="C11:C32">
      <formula1>$AV$1:$AV$15</formula1>
    </dataValidation>
  </dataValidations>
  <pageMargins left="0.7" right="0.7" top="0.75" bottom="0.75" header="0.3" footer="0.3"/>
  <pageSetup paperSize="9" scale="41" orientation="landscape" r:id="rId1"/>
  <ignoredErrors>
    <ignoredError sqref="AN11:AO11 AJ11:AK11 AJ13:AN13 AM14:AN14 AK14:AL14 AJ14 AO14 AO13 AL11:AM11" formulaRange="1"/>
    <ignoredError sqref="AG10:AI10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Лікарі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2023-09-14T15:52:56Z</dcterms:modified>
</cp:coreProperties>
</file>